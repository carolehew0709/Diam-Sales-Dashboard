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mcorp-my.sharepoint.com/personal/cynthia_wang_diaminter_com/Documents/桌面/"/>
    </mc:Choice>
  </mc:AlternateContent>
  <xr:revisionPtr revIDLastSave="0" documentId="8_{8899AD99-3E40-4E35-AE19-2A8CBC0BB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Summary" sheetId="1" r:id="rId1"/>
    <sheet name="Weekly Review" sheetId="2" r:id="rId2"/>
    <sheet name="Data Weekly" sheetId="3" state="hidden" r:id="rId3"/>
    <sheet name="Budget Recap" sheetId="4" r:id="rId4"/>
    <sheet name="Chart Data" sheetId="5" state="hidden" r:id="rId5"/>
    <sheet name="Management Checks" sheetId="6" state="hidden" r:id="rId6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" i="5" l="1"/>
  <c r="AL13" i="5"/>
  <c r="AK13" i="5"/>
  <c r="AH13" i="5"/>
  <c r="AG13" i="5"/>
  <c r="AF13" i="5"/>
  <c r="AM12" i="5"/>
  <c r="AL12" i="5"/>
  <c r="AK12" i="5"/>
  <c r="AH12" i="5"/>
  <c r="AG12" i="5"/>
  <c r="AF12" i="5"/>
  <c r="AM11" i="5"/>
  <c r="AL11" i="5"/>
  <c r="AK11" i="5"/>
  <c r="AH11" i="5"/>
  <c r="AG11" i="5"/>
  <c r="AF11" i="5"/>
  <c r="AM10" i="5"/>
  <c r="AL10" i="5"/>
  <c r="AK10" i="5"/>
  <c r="AH10" i="5"/>
  <c r="AG10" i="5"/>
  <c r="AF10" i="5"/>
  <c r="AM9" i="5"/>
  <c r="AL9" i="5"/>
  <c r="AK9" i="5"/>
  <c r="AH9" i="5"/>
  <c r="AG9" i="5"/>
  <c r="AF9" i="5"/>
  <c r="AM8" i="5"/>
  <c r="AL8" i="5"/>
  <c r="AK8" i="5"/>
  <c r="AH8" i="5"/>
  <c r="AG8" i="5"/>
  <c r="AF8" i="5"/>
  <c r="AM7" i="5"/>
  <c r="AL7" i="5"/>
  <c r="AK7" i="5"/>
  <c r="AH7" i="5"/>
  <c r="AG7" i="5"/>
  <c r="AF7" i="5"/>
  <c r="AM6" i="5"/>
  <c r="AL6" i="5"/>
  <c r="AK6" i="5"/>
  <c r="AH6" i="5"/>
  <c r="AG6" i="5"/>
  <c r="AF6" i="5"/>
  <c r="AM5" i="5"/>
  <c r="AL5" i="5"/>
  <c r="AK5" i="5"/>
  <c r="AH5" i="5"/>
  <c r="AG5" i="5"/>
  <c r="AF5" i="5"/>
  <c r="AM4" i="5"/>
  <c r="AL4" i="5"/>
  <c r="AK4" i="5"/>
  <c r="AH4" i="5"/>
  <c r="AG4" i="5"/>
  <c r="AF4" i="5"/>
  <c r="AM3" i="5"/>
  <c r="AL3" i="5"/>
  <c r="AK3" i="5"/>
  <c r="AH3" i="5"/>
  <c r="AG3" i="5"/>
  <c r="AF3" i="5"/>
  <c r="AM2" i="5"/>
  <c r="AL2" i="5"/>
  <c r="AK2" i="5"/>
  <c r="AH2" i="5"/>
  <c r="AG2" i="5"/>
  <c r="AF2" i="5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D5" i="2"/>
</calcChain>
</file>

<file path=xl/sharedStrings.xml><?xml version="1.0" encoding="utf-8"?>
<sst xmlns="http://schemas.openxmlformats.org/spreadsheetml/2006/main" count="1733" uniqueCount="124">
  <si>
    <t>DIAM · GLOBAL FOLLOW UP</t>
  </si>
  <si>
    <t>W35 · 30 Aug 2026 · Global view · All sales · Sales + P1 · Reporting unit EUR K · FX 1 EUR = 1.18 USD</t>
  </si>
  <si>
    <t>Annual budget</t>
  </si>
  <si>
    <t>Sales to date</t>
  </si>
  <si>
    <t>Dashboard</t>
  </si>
  <si>
    <t>P1</t>
  </si>
  <si>
    <t>Sales + P1</t>
  </si>
  <si>
    <t>Residual gap</t>
  </si>
  <si>
    <t>Complete published snapshot.</t>
  </si>
  <si>
    <t>BUSINESS UNIT POSITION · EUR K</t>
  </si>
  <si>
    <t>Region</t>
  </si>
  <si>
    <t>Business Unit</t>
  </si>
  <si>
    <t>Budget</t>
  </si>
  <si>
    <t>Coverage</t>
  </si>
  <si>
    <t>Gap</t>
  </si>
  <si>
    <t>Asia</t>
  </si>
  <si>
    <t>PDA · Asia (PDA + PDN + PGC)</t>
  </si>
  <si>
    <t>Europe</t>
  </si>
  <si>
    <t>PDE · Prugent Diam Europe</t>
  </si>
  <si>
    <t>PDP · Prugent Diam Portugal</t>
  </si>
  <si>
    <t>PSG · Prugent Services GmbH</t>
  </si>
  <si>
    <t>Americas</t>
  </si>
  <si>
    <t>PUS · Prugent America</t>
  </si>
  <si>
    <t>DMX · Diam Mexico</t>
  </si>
  <si>
    <t>DBR · Diam Brazil</t>
  </si>
  <si>
    <t>FFLEX · Fieldflex USA</t>
  </si>
  <si>
    <t>CUMULATIVE POSITION · EUR K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</si>
  <si>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</si>
  <si>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</si>
  <si>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</si>
  <si>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</si>
  <si>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</si>
  <si>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</si>
  <si>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</si>
  <si>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</si>
  <si>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</si>
  <si>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</si>
  <si>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</si>
  <si>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</si>
  <si>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</si>
  <si>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</si>
  <si>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DIAM · WEEKLY REVIEW</t>
  </si>
  <si>
    <t>PDA</t>
  </si>
  <si>
    <t>Change the selector to update the full matrix.</t>
  </si>
  <si>
    <t>W05–W26 use the frozen Global Follow Up history. From W27, Jan–Jun remains frozen and Jul–Dec follows the entity-dashboard snapshot.</t>
  </si>
  <si>
    <t>WEEKLY MONTHLY PROFILE · EUR K</t>
  </si>
  <si>
    <t>Snapshot</t>
  </si>
  <si>
    <t>FY Total</t>
  </si>
  <si>
    <t>WoW</t>
  </si>
  <si>
    <t>Source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</si>
  <si>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</si>
  <si>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</si>
  <si>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</si>
  <si>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</si>
  <si>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</si>
  <si>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</si>
  <si>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</si>
  <si>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</si>
  <si>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</si>
  <si>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</si>
  <si>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</si>
  <si>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</si>
  <si>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</si>
  <si>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</si>
  <si>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</si>
  <si>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</si>
  <si>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</si>
  <si>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</si>
  <si>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</si>
  <si>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</si>
  <si>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</si>
  <si>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</si>
  <si>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</si>
  <si>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</si>
  <si>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</si>
  <si>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</si>
  <si>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</si>
  <si>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</si>
  <si>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</si>
  <si>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</si>
  <si>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</si>
  <si>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P1 W35</t>
  </si>
  <si>
    <t>Sales + P1 W35</t>
  </si>
  <si>
    <t>Scope</t>
  </si>
  <si>
    <t>Record</t>
  </si>
  <si>
    <t>Week</t>
  </si>
  <si>
    <t>Asia (PDA + PDN + PGC)</t>
  </si>
  <si>
    <t>Approved Budget 2026</t>
  </si>
  <si>
    <t>Global Follow Up · frozen weekly history</t>
  </si>
  <si>
    <t>Jan–Jun Global Follow Up · Jul–Dec entity dashboards</t>
  </si>
  <si>
    <t>Pipeline workbook</t>
  </si>
  <si>
    <t>Hybrid monthly history + pipeline workbook</t>
  </si>
  <si>
    <t>PDE</t>
  </si>
  <si>
    <t>Prugent Diam Europe</t>
  </si>
  <si>
    <t>PDP</t>
  </si>
  <si>
    <t>Prugent Diam Portugal</t>
  </si>
  <si>
    <t>PSG</t>
  </si>
  <si>
    <t>Prugent Services GmbH</t>
  </si>
  <si>
    <t>Comparable W30 · current sources + last validated W29</t>
  </si>
  <si>
    <t>PUS</t>
  </si>
  <si>
    <t>Prugent America</t>
  </si>
  <si>
    <t>DMX</t>
  </si>
  <si>
    <t>Diam Mexico</t>
  </si>
  <si>
    <t>DBR</t>
  </si>
  <si>
    <t>Diam Brazil</t>
  </si>
  <si>
    <t>FFLEX</t>
  </si>
  <si>
    <t>Fieldflex USA</t>
  </si>
  <si>
    <t>DIAM · BUDGET RECAP</t>
  </si>
  <si>
    <t>MONTHLY POSITION · EUR K</t>
  </si>
  <si>
    <t>Jan–Jun 2026 is the frozen Global Follow Up management baseline; Jul–Dec follows the current entity-dashboard snapshot.</t>
  </si>
  <si>
    <t>Metric</t>
  </si>
  <si>
    <t>CUMULATIVE BY REGION · EUR K</t>
  </si>
  <si>
    <t>CUMULATIVE ANALYSIS · EUR K</t>
  </si>
  <si>
    <t>Use the dropdown to change the region chart.</t>
  </si>
  <si>
    <t>Use the dropdown to change the Business Unit chart.</t>
  </si>
  <si>
    <t>DIAM · MANAGEMENT CHECKS</t>
  </si>
  <si>
    <t>0 item(s) to review</t>
  </si>
  <si>
    <t>Priority</t>
  </si>
  <si>
    <t>BU</t>
  </si>
  <si>
    <t>Check</t>
  </si>
  <si>
    <t>Compared</t>
  </si>
  <si>
    <t>Difference</t>
  </si>
  <si>
    <t>Reference</t>
  </si>
  <si>
    <t>No management checks for the selected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</si>
</sst>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(#,##0.0\);\-"/>
    <numFmt numFmtId="177" formatCode="0.0%"/>
  </numFmts>
  <fonts count="12">
    <font>
      <sz val="10"/>
      <color rgb="FF171813"/>
      <name val="Inter"/>
      <family val="2"/>
    </font>
    <font>
      <b/>
      <sz val="20"/>
      <color rgb="FFFFFFFF"/>
      <name val="Manrope"/>
      <family val="2"/>
    </font>
    <font>
      <sz val="9"/>
      <color rgb="FF706F67"/>
      <name val="Inter"/>
      <family val="2"/>
    </font>
    <font>
      <b/>
      <sz val="8"/>
      <color rgb="FF8D6325"/>
      <name val="Inter"/>
      <family val="2"/>
    </font>
    <font>
      <b/>
      <sz val="9"/>
      <color rgb="FFFFFFFF"/>
      <name val="Inter"/>
      <family val="2"/>
    </font>
    <font>
      <b/>
      <sz val="18"/>
      <color rgb="FF171813"/>
      <name val="Manrope"/>
      <family val="2"/>
    </font>
    <font>
      <b/>
      <sz val="10"/>
      <color rgb="FF2F7A5D"/>
      <name val="Inter"/>
      <family val="2"/>
    </font>
    <font>
      <b/>
      <sz val="10"/>
      <color rgb="FFB64F43"/>
      <name val="Inter"/>
      <family val="2"/>
    </font>
    <font>
      <b/>
      <sz val="10"/>
      <color rgb="FF315B78"/>
      <name val="Inter"/>
      <family val="2"/>
    </font>
    <font>
      <sz val="10"/>
      <color rgb="FF171813"/>
      <name val="Inter"/>
      <family val="2"/>
    </font>
    <font>
      <b/>
      <sz val="10"/>
      <color rgb="FF171813"/>
      <name val="Inter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71813"/>
        <bgColor indexed="64"/>
      </patternFill>
    </fill>
    <fill>
      <patternFill patternType="solid">
        <fgColor rgb="FFF8F6F0"/>
        <bgColor indexed="64"/>
      </patternFill>
    </fill>
    <fill>
      <patternFill patternType="solid">
        <fgColor rgb="FFE1F0E8"/>
        <bgColor indexed="64"/>
      </patternFill>
    </fill>
    <fill>
      <patternFill patternType="solid">
        <fgColor rgb="FFF7E4E1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86B6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7E2D8"/>
      </bottom>
      <diagonal/>
    </border>
    <border>
      <left style="thin">
        <color rgb="FFD8D1C4"/>
      </left>
      <right style="thin">
        <color rgb="FFD8D1C4"/>
      </right>
      <top style="thin">
        <color rgb="FFD8D1C4"/>
      </top>
      <bottom style="thin">
        <color rgb="FFD8D1C4"/>
      </bottom>
      <diagonal/>
    </border>
    <border>
      <left/>
      <right/>
      <top/>
      <bottom style="medium">
        <color rgb="FFA77A3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176" fontId="0" fillId="7" borderId="1" xfId="0" applyNumberFormat="1" applyFill="1" applyBorder="1" applyAlignment="1">
      <alignment horizontal="right" vertical="center"/>
    </xf>
    <xf numFmtId="177" fontId="0" fillId="7" borderId="1" xfId="0" applyNumberForma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176" fontId="6" fillId="4" borderId="1" xfId="0" applyNumberFormat="1" applyFont="1" applyFill="1" applyBorder="1" applyAlignment="1">
      <alignment horizontal="right"/>
    </xf>
    <xf numFmtId="176" fontId="7" fillId="5" borderId="1" xfId="0" applyNumberFormat="1" applyFont="1" applyFill="1" applyBorder="1" applyAlignment="1">
      <alignment horizontal="right"/>
    </xf>
    <xf numFmtId="176" fontId="9" fillId="6" borderId="2" xfId="0" applyNumberFormat="1" applyFont="1" applyFill="1" applyBorder="1" applyAlignment="1">
      <alignment horizontal="right" vertical="center"/>
    </xf>
    <xf numFmtId="0" fontId="10" fillId="7" borderId="1" xfId="0" applyFont="1" applyFill="1" applyBorder="1"/>
    <xf numFmtId="176" fontId="10" fillId="7" borderId="1" xfId="0" applyNumberFormat="1" applyFont="1" applyFill="1" applyBorder="1" applyAlignment="1">
      <alignment horizontal="right"/>
    </xf>
    <xf numFmtId="0" fontId="4" fillId="8" borderId="2" xfId="0" applyFont="1" applyFill="1" applyBorder="1"/>
    <xf numFmtId="176" fontId="0" fillId="3" borderId="1" xfId="0" applyNumberFormat="1" applyFill="1" applyBorder="1" applyAlignment="1">
      <alignment horizontal="right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176" fontId="5" fillId="3" borderId="0" xfId="0" applyNumberFormat="1" applyFont="1" applyFill="1" applyAlignment="1">
      <alignment vertical="center"/>
    </xf>
    <xf numFmtId="176" fontId="7" fillId="5" borderId="1" xfId="0" applyNumberFormat="1" applyFont="1" applyFill="1" applyBorder="1" applyAlignment="1">
      <alignment horizontal="right"/>
    </xf>
    <xf numFmtId="0" fontId="2" fillId="3" borderId="0" xfId="0" applyFont="1" applyFill="1" applyAlignment="1">
      <alignment vertical="top" wrapText="1"/>
    </xf>
    <xf numFmtId="0" fontId="3" fillId="0" borderId="3" xfId="0" applyFont="1" applyBorder="1"/>
    <xf numFmtId="0" fontId="10" fillId="7" borderId="1" xfId="0" applyFont="1" applyFill="1" applyBorder="1"/>
    <xf numFmtId="176" fontId="9" fillId="6" borderId="2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GB" sz="1200" b="1"/>
              <a:t>Budget vs cumulative Sales · EUR K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</c:v>
          </c:tx>
          <c:spPr>
            <a:ln w="19050">
              <a:solidFill>
                <a:srgbClr val="9D9A91"/>
              </a:solidFill>
              <a:prstDash val="dash"/>
            </a:ln>
          </c:spPr>
          <c:marker>
            <c:symbol val="circle"/>
            <c:size val="5"/>
          </c:marker>
          <c:cat>
            <c:strRef>
              <c:f>'Executive Summary'!$A$24:$A$35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Summary'!$B$24:$B$35</c:f>
              <c:numCache>
                <c:formatCode>#,##0.0;[Red]\(#,##0.0\);\-</c:formatCode>
                <c:ptCount val="12"/>
                <c:pt idx="0">
                  <c:v>6574.4881201189801</c:v>
                </c:pt>
                <c:pt idx="1">
                  <c:v>13376.982005056871</c:v>
                </c:pt>
                <c:pt idx="2">
                  <c:v>21241.628643590302</c:v>
                </c:pt>
                <c:pt idx="3">
                  <c:v>32614.521072582462</c:v>
                </c:pt>
                <c:pt idx="4">
                  <c:v>40184.906697347084</c:v>
                </c:pt>
                <c:pt idx="5">
                  <c:v>47699.884975074136</c:v>
                </c:pt>
                <c:pt idx="6">
                  <c:v>54202.648424969768</c:v>
                </c:pt>
                <c:pt idx="7">
                  <c:v>59327.150453332426</c:v>
                </c:pt>
                <c:pt idx="8">
                  <c:v>67592.801762968593</c:v>
                </c:pt>
                <c:pt idx="9">
                  <c:v>74636.103103778689</c:v>
                </c:pt>
                <c:pt idx="10">
                  <c:v>81571.310755722414</c:v>
                </c:pt>
                <c:pt idx="11">
                  <c:v>87010.199244100077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60-46B8-931C-A43083F20277}"/>
            </c:ext>
          </c:extLst>
        </c:ser>
        <c:ser>
          <c:idx val="1"/>
          <c:order val="1"/>
          <c:tx>
            <c:v>Sales</c:v>
          </c:tx>
          <c:spPr>
            <a:ln w="19050">
              <a:solidFill>
                <a:srgbClr val="171813"/>
              </a:solidFill>
            </a:ln>
          </c:spPr>
          <c:marker>
            <c:symbol val="circle"/>
            <c:size val="5"/>
          </c:marker>
          <c:cat>
            <c:strRef>
              <c:f>'Executive Summary'!$A$24:$A$35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Summary'!$C$24:$C$35</c:f>
              <c:numCache>
                <c:formatCode>#,##0.0;[Red]\(#,##0.0\);\-</c:formatCode>
                <c:ptCount val="12"/>
                <c:pt idx="0">
                  <c:v>4507.5723559322032</c:v>
                </c:pt>
                <c:pt idx="1">
                  <c:v>8232.8565762711914</c:v>
                </c:pt>
                <c:pt idx="2">
                  <c:v>15248.015881355943</c:v>
                </c:pt>
                <c:pt idx="3">
                  <c:v>26565.519364406784</c:v>
                </c:pt>
                <c:pt idx="4">
                  <c:v>31985.072415254243</c:v>
                </c:pt>
                <c:pt idx="5">
                  <c:v>38708.083669491534</c:v>
                </c:pt>
                <c:pt idx="6">
                  <c:v>44106.548390862496</c:v>
                </c:pt>
                <c:pt idx="7">
                  <c:v>48265.207995359349</c:v>
                </c:pt>
                <c:pt idx="8">
                  <c:v>57042.264524759405</c:v>
                </c:pt>
                <c:pt idx="9">
                  <c:v>62850.697764650453</c:v>
                </c:pt>
                <c:pt idx="10">
                  <c:v>67368.558682564515</c:v>
                </c:pt>
                <c:pt idx="11">
                  <c:v>70116.320151544802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60-46B8-931C-A43083F20277}"/>
            </c:ext>
          </c:extLst>
        </c:ser>
        <c:ser>
          <c:idx val="2"/>
          <c:order val="2"/>
          <c:tx>
            <c:v>Sales + P1</c:v>
          </c:tx>
          <c:spPr>
            <a:ln w="28575">
              <a:solidFill>
                <a:srgbClr val="A77A35"/>
              </a:solidFill>
            </a:ln>
          </c:spPr>
          <c:marker>
            <c:symbol val="circle"/>
            <c:size val="5"/>
          </c:marker>
          <c:cat>
            <c:strRef>
              <c:f>'Executive Summary'!$A$24:$A$35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Summary'!$D$24:$D$35</c:f>
              <c:numCache>
                <c:formatCode>#,##0.0;[Red]\(#,##0.0\);\-</c:formatCode>
                <c:ptCount val="12"/>
                <c:pt idx="0">
                  <c:v>4507.5723559322032</c:v>
                </c:pt>
                <c:pt idx="1">
                  <c:v>8232.8565762711914</c:v>
                </c:pt>
                <c:pt idx="2">
                  <c:v>15249.015881355943</c:v>
                </c:pt>
                <c:pt idx="3">
                  <c:v>26566.519364406784</c:v>
                </c:pt>
                <c:pt idx="4">
                  <c:v>31986.072415254243</c:v>
                </c:pt>
                <c:pt idx="5">
                  <c:v>38709.083669491534</c:v>
                </c:pt>
                <c:pt idx="6">
                  <c:v>44107.548390862496</c:v>
                </c:pt>
                <c:pt idx="7">
                  <c:v>48271.207995359349</c:v>
                </c:pt>
                <c:pt idx="8">
                  <c:v>57119.264524759405</c:v>
                </c:pt>
                <c:pt idx="9">
                  <c:v>63297.697764650453</c:v>
                </c:pt>
                <c:pt idx="10">
                  <c:v>68403.558682564515</c:v>
                </c:pt>
                <c:pt idx="11">
                  <c:v>71962.320151544802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60-46B8-931C-A43083F20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GB" sz="1200" b="1"/>
              <a:t>Selected region · cumulative Budget vs Sales · EUR K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</c:v>
          </c:tx>
          <c:spPr>
            <a:ln w="19050">
              <a:solidFill>
                <a:srgbClr val="9D9A91"/>
              </a:solidFill>
              <a:prstDash val="dash"/>
            </a:ln>
          </c:spPr>
          <c:marker>
            <c:symbol val="circle"/>
            <c:size val="5"/>
          </c:marker>
          <c:cat>
            <c:strRef>
              <c:f>'Chart Data'!$AE$2:$AE$13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Data'!$AF$2:$AF$13</c:f>
              <c:numCache>
                <c:formatCode>#,##0.0;[Red]\(#,##0.0\);\-</c:formatCode>
                <c:ptCount val="12"/>
                <c:pt idx="0">
                  <c:v>842.19690034772998</c:v>
                </c:pt>
                <c:pt idx="1">
                  <c:v>1731.2886278644601</c:v>
                </c:pt>
                <c:pt idx="2">
                  <c:v>2651.9771450028402</c:v>
                </c:pt>
                <c:pt idx="3">
                  <c:v>3564.3525647137599</c:v>
                </c:pt>
                <c:pt idx="4">
                  <c:v>4437.9017634616002</c:v>
                </c:pt>
                <c:pt idx="5">
                  <c:v>5374.9396699894614</c:v>
                </c:pt>
                <c:pt idx="6">
                  <c:v>6252.6384376431906</c:v>
                </c:pt>
                <c:pt idx="7">
                  <c:v>7142.3248488028503</c:v>
                </c:pt>
                <c:pt idx="8">
                  <c:v>8010.1247170192701</c:v>
                </c:pt>
                <c:pt idx="9">
                  <c:v>8855.7979460834504</c:v>
                </c:pt>
                <c:pt idx="10">
                  <c:v>9709.5581359817807</c:v>
                </c:pt>
                <c:pt idx="11">
                  <c:v>10627.065097208331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F2-4651-B42D-36C3DA95D9D2}"/>
            </c:ext>
          </c:extLst>
        </c:ser>
        <c:ser>
          <c:idx val="1"/>
          <c:order val="1"/>
          <c:tx>
            <c:v>Sales</c:v>
          </c:tx>
          <c:spPr>
            <a:ln w="19050">
              <a:solidFill>
                <a:srgbClr val="171813"/>
              </a:solidFill>
            </a:ln>
          </c:spPr>
          <c:marker>
            <c:symbol val="circle"/>
            <c:size val="5"/>
          </c:marker>
          <c:cat>
            <c:strRef>
              <c:f>'Chart Data'!$AE$2:$AE$13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Data'!$AG$2:$AG$13</c:f>
              <c:numCache>
                <c:formatCode>#,##0.0;[Red]\(#,##0.0\);\-</c:formatCode>
                <c:ptCount val="12"/>
                <c:pt idx="0">
                  <c:v>310</c:v>
                </c:pt>
                <c:pt idx="1">
                  <c:v>359</c:v>
                </c:pt>
                <c:pt idx="2">
                  <c:v>610</c:v>
                </c:pt>
                <c:pt idx="3">
                  <c:v>938</c:v>
                </c:pt>
                <c:pt idx="4">
                  <c:v>1180</c:v>
                </c:pt>
                <c:pt idx="5">
                  <c:v>1845</c:v>
                </c:pt>
                <c:pt idx="6">
                  <c:v>1963.9133999999999</c:v>
                </c:pt>
                <c:pt idx="7">
                  <c:v>2040.9133999999999</c:v>
                </c:pt>
                <c:pt idx="8">
                  <c:v>2642.9133999999999</c:v>
                </c:pt>
                <c:pt idx="9">
                  <c:v>2809.9133999999999</c:v>
                </c:pt>
                <c:pt idx="10">
                  <c:v>2899.9133999999999</c:v>
                </c:pt>
                <c:pt idx="11">
                  <c:v>2961.9133999999999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F2-4651-B42D-36C3DA95D9D2}"/>
            </c:ext>
          </c:extLst>
        </c:ser>
        <c:ser>
          <c:idx val="2"/>
          <c:order val="2"/>
          <c:tx>
            <c:v>Sales + P1</c:v>
          </c:tx>
          <c:spPr>
            <a:ln w="28575">
              <a:solidFill>
                <a:srgbClr val="A77A35"/>
              </a:solidFill>
            </a:ln>
          </c:spPr>
          <c:marker>
            <c:symbol val="circle"/>
            <c:size val="5"/>
          </c:marker>
          <c:cat>
            <c:strRef>
              <c:f>'Chart Data'!$AE$2:$AE$13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Data'!$AH$2:$AH$13</c:f>
              <c:numCache>
                <c:formatCode>#,##0.0;[Red]\(#,##0.0\);\-</c:formatCode>
                <c:ptCount val="12"/>
                <c:pt idx="0">
                  <c:v>310</c:v>
                </c:pt>
                <c:pt idx="1">
                  <c:v>359</c:v>
                </c:pt>
                <c:pt idx="2">
                  <c:v>611</c:v>
                </c:pt>
                <c:pt idx="3">
                  <c:v>939</c:v>
                </c:pt>
                <c:pt idx="4">
                  <c:v>1181</c:v>
                </c:pt>
                <c:pt idx="5">
                  <c:v>1846</c:v>
                </c:pt>
                <c:pt idx="6">
                  <c:v>1964.9133999999999</c:v>
                </c:pt>
                <c:pt idx="7">
                  <c:v>2041.9133999999999</c:v>
                </c:pt>
                <c:pt idx="8">
                  <c:v>2699.9133999999999</c:v>
                </c:pt>
                <c:pt idx="9">
                  <c:v>2919.9133999999999</c:v>
                </c:pt>
                <c:pt idx="10">
                  <c:v>3164.9133999999999</c:v>
                </c:pt>
                <c:pt idx="11">
                  <c:v>3232.9133999999999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F2-4651-B42D-36C3DA95D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GB" sz="1200" b="1"/>
              <a:t>Selected Business Unit · cumulative Budget vs Sales · EUR K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</c:v>
          </c:tx>
          <c:spPr>
            <a:ln w="19050">
              <a:solidFill>
                <a:srgbClr val="9D9A91"/>
              </a:solidFill>
              <a:prstDash val="dash"/>
            </a:ln>
          </c:spPr>
          <c:marker>
            <c:symbol val="circle"/>
            <c:size val="5"/>
          </c:marker>
          <c:cat>
            <c:strRef>
              <c:f>'Chart Data'!$AJ$2:$AJ$13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Data'!$AK$2:$AK$13</c:f>
              <c:numCache>
                <c:formatCode>#,##0.0;[Red]\(#,##0.0\);\-</c:formatCode>
                <c:ptCount val="12"/>
                <c:pt idx="0">
                  <c:v>842.19690034772998</c:v>
                </c:pt>
                <c:pt idx="1">
                  <c:v>1731.2886278644601</c:v>
                </c:pt>
                <c:pt idx="2">
                  <c:v>2651.9771450028402</c:v>
                </c:pt>
                <c:pt idx="3">
                  <c:v>3564.3525647137599</c:v>
                </c:pt>
                <c:pt idx="4">
                  <c:v>4437.9017634616002</c:v>
                </c:pt>
                <c:pt idx="5">
                  <c:v>5374.9396699894614</c:v>
                </c:pt>
                <c:pt idx="6">
                  <c:v>6252.6384376431906</c:v>
                </c:pt>
                <c:pt idx="7">
                  <c:v>7142.3248488028503</c:v>
                </c:pt>
                <c:pt idx="8">
                  <c:v>8010.1247170192701</c:v>
                </c:pt>
                <c:pt idx="9">
                  <c:v>8855.7979460834504</c:v>
                </c:pt>
                <c:pt idx="10">
                  <c:v>9709.5581359817807</c:v>
                </c:pt>
                <c:pt idx="11">
                  <c:v>10627.065097208331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A9-4103-B0BF-2E1F2EC1888C}"/>
            </c:ext>
          </c:extLst>
        </c:ser>
        <c:ser>
          <c:idx val="1"/>
          <c:order val="1"/>
          <c:tx>
            <c:v>Sales</c:v>
          </c:tx>
          <c:spPr>
            <a:ln w="19050">
              <a:solidFill>
                <a:srgbClr val="171813"/>
              </a:solidFill>
            </a:ln>
          </c:spPr>
          <c:marker>
            <c:symbol val="circle"/>
            <c:size val="5"/>
          </c:marker>
          <c:cat>
            <c:strRef>
              <c:f>'Chart Data'!$AJ$2:$AJ$13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Data'!$AL$2:$AL$13</c:f>
              <c:numCache>
                <c:formatCode>#,##0.0;[Red]\(#,##0.0\);\-</c:formatCode>
                <c:ptCount val="12"/>
                <c:pt idx="0">
                  <c:v>310</c:v>
                </c:pt>
                <c:pt idx="1">
                  <c:v>359</c:v>
                </c:pt>
                <c:pt idx="2">
                  <c:v>610</c:v>
                </c:pt>
                <c:pt idx="3">
                  <c:v>938</c:v>
                </c:pt>
                <c:pt idx="4">
                  <c:v>1180</c:v>
                </c:pt>
                <c:pt idx="5">
                  <c:v>1845</c:v>
                </c:pt>
                <c:pt idx="6">
                  <c:v>1963.9133999999999</c:v>
                </c:pt>
                <c:pt idx="7">
                  <c:v>2040.9133999999999</c:v>
                </c:pt>
                <c:pt idx="8">
                  <c:v>2642.9133999999999</c:v>
                </c:pt>
                <c:pt idx="9">
                  <c:v>2809.9133999999999</c:v>
                </c:pt>
                <c:pt idx="10">
                  <c:v>2899.9133999999999</c:v>
                </c:pt>
                <c:pt idx="11">
                  <c:v>2961.9133999999999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A9-4103-B0BF-2E1F2EC1888C}"/>
            </c:ext>
          </c:extLst>
        </c:ser>
        <c:ser>
          <c:idx val="2"/>
          <c:order val="2"/>
          <c:tx>
            <c:v>Sales + P1</c:v>
          </c:tx>
          <c:spPr>
            <a:ln w="28575">
              <a:solidFill>
                <a:srgbClr val="A77A35"/>
              </a:solidFill>
            </a:ln>
          </c:spPr>
          <c:marker>
            <c:symbol val="circle"/>
            <c:size val="5"/>
          </c:marker>
          <c:cat>
            <c:strRef>
              <c:f>'Chart Data'!$AJ$2:$AJ$13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Data'!$AM$2:$AM$13</c:f>
              <c:numCache>
                <c:formatCode>#,##0.0;[Red]\(#,##0.0\);\-</c:formatCode>
                <c:ptCount val="12"/>
                <c:pt idx="0">
                  <c:v>310</c:v>
                </c:pt>
                <c:pt idx="1">
                  <c:v>359</c:v>
                </c:pt>
                <c:pt idx="2">
                  <c:v>611</c:v>
                </c:pt>
                <c:pt idx="3">
                  <c:v>939</c:v>
                </c:pt>
                <c:pt idx="4">
                  <c:v>1181</c:v>
                </c:pt>
                <c:pt idx="5">
                  <c:v>1846</c:v>
                </c:pt>
                <c:pt idx="6">
                  <c:v>1964.9133999999999</c:v>
                </c:pt>
                <c:pt idx="7">
                  <c:v>2041.9133999999999</c:v>
                </c:pt>
                <c:pt idx="8">
                  <c:v>2699.9133999999999</c:v>
                </c:pt>
                <c:pt idx="9">
                  <c:v>2919.9133999999999</c:v>
                </c:pt>
                <c:pt idx="10">
                  <c:v>3164.9133999999999</c:v>
                </c:pt>
                <c:pt idx="11">
                  <c:v>3232.9133999999999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A9-4103-B0BF-2E1F2EC18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2" name="Cumulative Sales 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9</xdr:col>
      <xdr:colOff>0</xdr:colOff>
      <xdr:row>77</xdr:row>
      <xdr:rowOff>0</xdr:rowOff>
    </xdr:to>
    <xdr:graphicFrame macro="">
      <xdr:nvGraphicFramePr>
        <xdr:cNvPr id="2" name="Cumulative performance by regio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59</xdr:row>
      <xdr:rowOff>0</xdr:rowOff>
    </xdr:from>
    <xdr:to>
      <xdr:col>18</xdr:col>
      <xdr:colOff>0</xdr:colOff>
      <xdr:row>77</xdr:row>
      <xdr:rowOff>0</xdr:rowOff>
    </xdr:to>
    <xdr:graphicFrame macro="">
      <xdr:nvGraphicFramePr>
        <xdr:cNvPr id="3" name="Cumulative performance by Business Uni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showGridLines="0" tabSelected="1" zoomScale="150" zoomScaleNormal="150" workbookViewId="0">
      <pane ySplit="4" topLeftCell="A5" activePane="bottomLeft" state="frozen"/>
      <selection pane="bottomLeft" activeCell="D23" sqref="D23"/>
    </sheetView>
  </sheetViews>
  <sheetFormatPr defaultRowHeight="13.8"/>
  <cols>
    <col min="1" max="1" width="14" customWidth="1"/>
    <col min="2" max="2" width="28" customWidth="1"/>
    <col min="3" max="9" width="15" customWidth="1"/>
    <col min="10" max="17" width="14" customWidth="1"/>
  </cols>
  <sheetData>
    <row r="1" spans="1:17" ht="28.0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3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2.05" customHeight="1">
      <c r="A3" s="15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6" spans="1:17" ht="13.2">
      <c r="A6" s="16" t="s">
        <v>2</v>
      </c>
      <c r="B6" s="14"/>
      <c r="C6" s="16" t="s">
        <v>3</v>
      </c>
      <c r="D6" s="14"/>
      <c r="E6" s="16" t="s">
        <v>4</v>
      </c>
      <c r="F6" s="14"/>
      <c r="G6" s="16" t="s">
        <v>5</v>
      </c>
      <c r="H6" s="14"/>
      <c r="I6" s="16" t="s">
        <v>6</v>
      </c>
      <c r="J6" s="14"/>
      <c r="K6" s="16" t="s">
        <v>7</v>
      </c>
      <c r="L6" s="14"/>
    </row>
    <row r="7" spans="1:17" ht="13.2">
      <c r="A7" s="17">
        <v>87010.199244100324</v>
      </c>
      <c r="B7" s="14"/>
      <c r="C7" s="17">
        <v>44569.867770945493</v>
      </c>
      <c r="D7" s="14"/>
      <c r="E7" s="17">
        <v>25546.452380599309</v>
      </c>
      <c r="F7" s="14"/>
      <c r="G7" s="17">
        <v>1846</v>
      </c>
      <c r="H7" s="14"/>
      <c r="I7" s="17">
        <v>71962.320151544802</v>
      </c>
      <c r="J7" s="14"/>
      <c r="K7" s="18">
        <v>-15047.879092555522</v>
      </c>
      <c r="L7" s="14"/>
    </row>
    <row r="8" spans="1:17" ht="13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7" ht="13.2">
      <c r="A9" s="19" t="s">
        <v>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7" ht="13.2">
      <c r="A10" s="20" t="s">
        <v>9</v>
      </c>
      <c r="B10" s="14"/>
      <c r="C10" s="14"/>
      <c r="D10" s="14"/>
      <c r="E10" s="14"/>
      <c r="F10" s="14"/>
      <c r="G10" s="14"/>
      <c r="H10" s="14"/>
      <c r="I10" s="14"/>
    </row>
    <row r="11" spans="1:17" ht="13.2">
      <c r="A11" s="1" t="s">
        <v>10</v>
      </c>
      <c r="B11" s="1" t="s">
        <v>11</v>
      </c>
      <c r="C11" s="1" t="s">
        <v>12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13</v>
      </c>
      <c r="I11" s="1" t="s">
        <v>14</v>
      </c>
    </row>
    <row r="12" spans="1:17" ht="13.2">
      <c r="A12" s="2" t="s">
        <v>15</v>
      </c>
      <c r="B12" s="2" t="s">
        <v>16</v>
      </c>
      <c r="C12" s="3">
        <v>10627.065097208362</v>
      </c>
      <c r="D12" s="3">
        <v>1963.9133999999999</v>
      </c>
      <c r="E12" s="3">
        <v>998</v>
      </c>
      <c r="F12" s="3">
        <v>271</v>
      </c>
      <c r="G12" s="10">
        <v>3232.9133999999999</v>
      </c>
      <c r="H12" s="4">
        <v>0.30421507447500001</v>
      </c>
      <c r="I12" s="7">
        <v>-7394.1516972083627</v>
      </c>
    </row>
    <row r="13" spans="1:17" ht="13.2">
      <c r="A13" s="2" t="s">
        <v>17</v>
      </c>
      <c r="B13" s="2" t="s">
        <v>18</v>
      </c>
      <c r="C13" s="3">
        <v>24915</v>
      </c>
      <c r="D13" s="3">
        <v>15141</v>
      </c>
      <c r="E13" s="3">
        <v>4925</v>
      </c>
      <c r="F13" s="3">
        <v>793</v>
      </c>
      <c r="G13" s="10">
        <v>20859</v>
      </c>
      <c r="H13" s="4">
        <v>0.83720650210699998</v>
      </c>
      <c r="I13" s="7">
        <v>-4056</v>
      </c>
    </row>
    <row r="14" spans="1:17" ht="13.2">
      <c r="A14" s="2" t="s">
        <v>17</v>
      </c>
      <c r="B14" s="2" t="s">
        <v>19</v>
      </c>
      <c r="C14" s="3">
        <v>14500</v>
      </c>
      <c r="D14" s="3">
        <v>6733.3975325000001</v>
      </c>
      <c r="E14" s="3">
        <v>3919.9999999999991</v>
      </c>
      <c r="F14" s="3">
        <v>486</v>
      </c>
      <c r="G14" s="10">
        <v>11139.397532499999</v>
      </c>
      <c r="H14" s="4">
        <v>0.76823431258599995</v>
      </c>
      <c r="I14" s="7">
        <v>-3360.6024675000008</v>
      </c>
    </row>
    <row r="15" spans="1:17" ht="13.2">
      <c r="A15" s="2" t="s">
        <v>17</v>
      </c>
      <c r="B15" s="2" t="s">
        <v>20</v>
      </c>
      <c r="C15" s="3">
        <v>1500</v>
      </c>
      <c r="D15" s="3">
        <v>1224</v>
      </c>
      <c r="E15" s="3">
        <v>459</v>
      </c>
      <c r="F15" s="3">
        <v>0</v>
      </c>
      <c r="G15" s="10">
        <v>1683</v>
      </c>
      <c r="H15" s="4">
        <v>1.1220000000000001</v>
      </c>
      <c r="I15" s="6">
        <v>183</v>
      </c>
    </row>
    <row r="16" spans="1:17" ht="13.2">
      <c r="A16" s="2" t="s">
        <v>21</v>
      </c>
      <c r="B16" s="2" t="s">
        <v>22</v>
      </c>
      <c r="C16" s="3">
        <v>6325.2306037751496</v>
      </c>
      <c r="D16" s="3">
        <v>3438.4338898305</v>
      </c>
      <c r="E16" s="3">
        <v>2993.9548460079</v>
      </c>
      <c r="F16" s="3">
        <v>0</v>
      </c>
      <c r="G16" s="10">
        <v>6432.3887358384</v>
      </c>
      <c r="H16" s="4">
        <v>1.0169413794969999</v>
      </c>
      <c r="I16" s="6">
        <v>107.15813206324999</v>
      </c>
    </row>
    <row r="17" spans="1:9" ht="13.2">
      <c r="A17" s="2" t="s">
        <v>21</v>
      </c>
      <c r="B17" s="2" t="s">
        <v>23</v>
      </c>
      <c r="C17" s="3">
        <v>11319.0240322877</v>
      </c>
      <c r="D17" s="3">
        <v>4321.1864406779996</v>
      </c>
      <c r="E17" s="3">
        <v>6878.4578983050014</v>
      </c>
      <c r="F17" s="3">
        <v>120</v>
      </c>
      <c r="G17" s="10">
        <v>11319.644338983</v>
      </c>
      <c r="H17" s="4">
        <v>1.0000548021360001</v>
      </c>
      <c r="I17" s="6">
        <v>0.62030669530000004</v>
      </c>
    </row>
    <row r="18" spans="1:9" ht="13.2">
      <c r="A18" s="2" t="s">
        <v>21</v>
      </c>
      <c r="B18" s="2" t="s">
        <v>24</v>
      </c>
      <c r="C18" s="3">
        <v>15423.879510829122</v>
      </c>
      <c r="D18" s="3">
        <v>11747.936507937</v>
      </c>
      <c r="E18" s="3">
        <v>3307.0426447610012</v>
      </c>
      <c r="F18" s="3">
        <v>176</v>
      </c>
      <c r="G18" s="10">
        <v>15230.979152698001</v>
      </c>
      <c r="H18" s="4">
        <v>0.98749339567899996</v>
      </c>
      <c r="I18" s="7">
        <v>-192.90035813112101</v>
      </c>
    </row>
    <row r="19" spans="1:9" ht="13.2">
      <c r="A19" s="2" t="s">
        <v>21</v>
      </c>
      <c r="B19" s="2" t="s">
        <v>25</v>
      </c>
      <c r="C19" s="3">
        <v>2400</v>
      </c>
      <c r="D19" s="3">
        <v>0</v>
      </c>
      <c r="E19" s="3">
        <v>2064.9969915254001</v>
      </c>
      <c r="F19" s="3">
        <v>0</v>
      </c>
      <c r="G19" s="10">
        <v>2064.9969915254001</v>
      </c>
      <c r="H19" s="4">
        <v>0.86041541313600001</v>
      </c>
      <c r="I19" s="7">
        <v>-335.00300847459999</v>
      </c>
    </row>
    <row r="22" spans="1:9" ht="13.2">
      <c r="A22" s="20" t="s">
        <v>26</v>
      </c>
      <c r="B22" s="14"/>
      <c r="C22" s="14"/>
      <c r="D22" s="14"/>
    </row>
    <row r="23" spans="1:9" ht="13.2">
      <c r="A23" s="1" t="s">
        <v>27</v>
      </c>
      <c r="B23" s="1" t="s">
        <v>12</v>
      </c>
      <c r="C23" s="1" t="s">
        <v>28</v>
      </c>
      <c r="D23" s="1" t="s">
        <v>6</v>
      </c>
    </row>
    <row r="24" spans="1:9" ht="13.2">
      <c r="A24" s="2" t="s">
        <v>29</v>
      </c>
      <c r="B24" s="3">
        <v>6574.4881201189801</v>
      </c>
      <c r="C24" s="3">
        <v>4507.5723559322032</v>
      </c>
      <c r="D24" s="10">
        <v>4507.5723559322032</v>
      </c>
    </row>
    <row r="25" spans="1:9" ht="13.2">
      <c r="A25" s="2" t="s">
        <v>30</v>
      </c>
      <c r="B25" s="3">
        <v>13376.982005056871</v>
      </c>
      <c r="C25" s="3">
        <v>8232.8565762711914</v>
      </c>
      <c r="D25" s="10">
        <v>8232.8565762711914</v>
      </c>
    </row>
    <row r="26" spans="1:9" ht="13.2">
      <c r="A26" s="2" t="s">
        <v>31</v>
      </c>
      <c r="B26" s="3">
        <v>21241.628643590302</v>
      </c>
      <c r="C26" s="3">
        <v>15248.015881355943</v>
      </c>
      <c r="D26" s="10">
        <v>15249.015881355943</v>
      </c>
    </row>
    <row r="27" spans="1:9" ht="13.2">
      <c r="A27" s="2" t="s">
        <v>32</v>
      </c>
      <c r="B27" s="3">
        <v>32614.521072582462</v>
      </c>
      <c r="C27" s="3">
        <v>26565.519364406784</v>
      </c>
      <c r="D27" s="10">
        <v>26566.519364406784</v>
      </c>
    </row>
    <row r="28" spans="1:9" ht="13.2">
      <c r="A28" s="2" t="s">
        <v>33</v>
      </c>
      <c r="B28" s="3">
        <v>40184.906697347084</v>
      </c>
      <c r="C28" s="3">
        <v>31985.072415254243</v>
      </c>
      <c r="D28" s="10">
        <v>31986.072415254243</v>
      </c>
    </row>
    <row r="29" spans="1:9" ht="13.2">
      <c r="A29" s="2" t="s">
        <v>34</v>
      </c>
      <c r="B29" s="3">
        <v>47699.884975074136</v>
      </c>
      <c r="C29" s="3">
        <v>38708.083669491534</v>
      </c>
      <c r="D29" s="10">
        <v>38709.083669491534</v>
      </c>
    </row>
    <row r="30" spans="1:9" ht="13.2">
      <c r="A30" s="2" t="s">
        <v>35</v>
      </c>
      <c r="B30" s="3">
        <v>54202.648424969768</v>
      </c>
      <c r="C30" s="3">
        <v>44106.548390862496</v>
      </c>
      <c r="D30" s="10">
        <v>44107.548390862496</v>
      </c>
    </row>
    <row r="31" spans="1:9" ht="13.2">
      <c r="A31" s="2" t="s">
        <v>36</v>
      </c>
      <c r="B31" s="3">
        <v>59327.150453332426</v>
      </c>
      <c r="C31" s="3">
        <v>48265.207995359349</v>
      </c>
      <c r="D31" s="10">
        <v>48271.207995359349</v>
      </c>
    </row>
    <row r="32" spans="1:9" ht="13.2">
      <c r="A32" s="2" t="s">
        <v>37</v>
      </c>
      <c r="B32" s="3">
        <v>67592.801762968593</v>
      </c>
      <c r="C32" s="3">
        <v>57042.264524759405</v>
      </c>
      <c r="D32" s="10">
        <v>57119.264524759405</v>
      </c>
    </row>
    <row r="33" spans="1:4" ht="13.2">
      <c r="A33" s="2" t="s">
        <v>38</v>
      </c>
      <c r="B33" s="3">
        <v>74636.103103778689</v>
      </c>
      <c r="C33" s="3">
        <v>62850.697764650453</v>
      </c>
      <c r="D33" s="10">
        <v>63297.697764650453</v>
      </c>
    </row>
    <row r="34" spans="1:4" ht="13.2">
      <c r="A34" s="2" t="s">
        <v>39</v>
      </c>
      <c r="B34" s="3">
        <v>81571.310755722414</v>
      </c>
      <c r="C34" s="3">
        <v>67368.558682564515</v>
      </c>
      <c r="D34" s="10">
        <v>68403.558682564515</v>
      </c>
    </row>
    <row r="35" spans="1:4" ht="13.2">
      <c r="A35" s="2" t="s">
        <v>40</v>
      </c>
      <c r="B35" s="3">
        <v>87010.199244100077</v>
      </c>
      <c r="C35" s="3">
        <v>70116.320151544802</v>
      </c>
      <c r="D35" s="10">
        <v>71962.320151544802</v>
      </c>
    </row>
  </sheetData>
  <autoFilter ref="A11:I19" xr:uid="{00000000-0009-0000-0000-000000000000}"/>
  <mergeCells count="17">
    <mergeCell ref="A9:L9"/>
    <mergeCell ref="A10:I10"/>
    <mergeCell ref="A22:D22"/>
    <mergeCell ref="A1:Q2"/>
    <mergeCell ref="A3:Q3"/>
    <mergeCell ref="A6:B6"/>
    <mergeCell ref="A7:B8"/>
    <mergeCell ref="C6:D6"/>
    <mergeCell ref="C7:D8"/>
    <mergeCell ref="E6:F6"/>
    <mergeCell ref="E7:F8"/>
    <mergeCell ref="G6:H6"/>
    <mergeCell ref="G7:H8"/>
    <mergeCell ref="I6:J6"/>
    <mergeCell ref="I7:J8"/>
    <mergeCell ref="K6:L6"/>
    <mergeCell ref="K7:L8"/>
  </mergeCells>
  <phoneticPr fontId="11" type="noConversion"/>
  <pageMargins left="0.35" right="0.35" top="0.55000000000000004" bottom="0.55000000000000004" header="0.2" footer="0.2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showGridLines="0" zoomScale="140" zoomScaleNormal="140" workbookViewId="0">
      <pane xSplit="1" ySplit="8" topLeftCell="F9" activePane="bottomRight" state="frozen"/>
      <selection pane="topRight"/>
      <selection pane="bottomLeft"/>
      <selection pane="bottomRight" activeCell="Q10" sqref="Q10"/>
    </sheetView>
  </sheetViews>
  <sheetFormatPr defaultRowHeight="13.8"/>
  <cols>
    <col min="1" max="1" width="19" customWidth="1"/>
    <col min="2" max="13" width="12" customWidth="1"/>
    <col min="14" max="14" width="14" customWidth="1"/>
    <col min="15" max="16" width="13" customWidth="1"/>
    <col min="17" max="17" width="29" customWidth="1"/>
  </cols>
  <sheetData>
    <row r="1" spans="1:17" ht="28.05" customHeight="1">
      <c r="A1" s="13" t="s">
        <v>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3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3.2">
      <c r="A3" s="15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5" spans="1:17" ht="13.2">
      <c r="A5" s="5" t="s">
        <v>11</v>
      </c>
      <c r="B5" s="8" t="s">
        <v>42</v>
      </c>
      <c r="D5" s="21" t="str">
        <f>IFERROR(INDEX('Data Weekly'!$B$2:$B$273,MATCH($B$5,'Data Weekly'!$A$2:$A$273,0)),"")</f>
        <v>Asia (PDA + PDN + PGC)</v>
      </c>
      <c r="E5" s="14"/>
      <c r="F5" s="14"/>
      <c r="G5" s="14"/>
      <c r="H5" s="14"/>
      <c r="J5" s="15" t="s">
        <v>43</v>
      </c>
      <c r="K5" s="14"/>
      <c r="L5" s="14"/>
      <c r="M5" s="14"/>
      <c r="N5" s="14"/>
      <c r="O5" s="14"/>
      <c r="P5" s="14"/>
      <c r="Q5" s="14"/>
    </row>
    <row r="6" spans="1:17" ht="13.2">
      <c r="A6" s="15" t="s">
        <v>44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13.2">
      <c r="A7" s="20" t="s">
        <v>45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ht="13.2">
      <c r="A8" s="1" t="s">
        <v>46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35</v>
      </c>
      <c r="I8" s="1" t="s">
        <v>36</v>
      </c>
      <c r="J8" s="1" t="s">
        <v>37</v>
      </c>
      <c r="K8" s="1" t="s">
        <v>38</v>
      </c>
      <c r="L8" s="1" t="s">
        <v>39</v>
      </c>
      <c r="M8" s="1" t="s">
        <v>40</v>
      </c>
      <c r="N8" s="1" t="s">
        <v>47</v>
      </c>
      <c r="O8" s="1" t="s">
        <v>13</v>
      </c>
      <c r="P8" s="1" t="s">
        <v>48</v>
      </c>
      <c r="Q8" s="1" t="s">
        <v>49</v>
      </c>
    </row>
    <row r="9" spans="1:17" ht="13.2">
      <c r="A9" s="2" t="s">
        <v>12</v>
      </c>
      <c r="B9" s="3">
        <f>SUMIFS('Data Weekly'!$F$2:$F$273,'Data Weekly'!$A$2:$A$273,$B$5,'Data Weekly'!$D$2:$D$273,$A9)</f>
        <v>842.19690034772998</v>
      </c>
      <c r="C9" s="3">
        <f>SUMIFS('Data Weekly'!$G$2:$G$273,'Data Weekly'!$A$2:$A$273,$B$5,'Data Weekly'!$D$2:$D$273,$A9)</f>
        <v>889.09172751672997</v>
      </c>
      <c r="D9" s="3">
        <f>SUMIFS('Data Weekly'!$H$2:$H$273,'Data Weekly'!$A$2:$A$273,$B$5,'Data Weekly'!$D$2:$D$273,$A9)</f>
        <v>920.68851713838001</v>
      </c>
      <c r="E9" s="3">
        <f>SUMIFS('Data Weekly'!$I$2:$I$273,'Data Weekly'!$A$2:$A$273,$B$5,'Data Weekly'!$D$2:$D$273,$A9)</f>
        <v>912.37541971092003</v>
      </c>
      <c r="F9" s="3">
        <f>SUMIFS('Data Weekly'!$J$2:$J$273,'Data Weekly'!$A$2:$A$273,$B$5,'Data Weekly'!$D$2:$D$273,$A9)</f>
        <v>873.54919874784002</v>
      </c>
      <c r="G9" s="3">
        <f>SUMIFS('Data Weekly'!$K$2:$K$273,'Data Weekly'!$A$2:$A$273,$B$5,'Data Weekly'!$D$2:$D$273,$A9)</f>
        <v>937.03790652785995</v>
      </c>
      <c r="H9" s="3">
        <f>SUMIFS('Data Weekly'!$L$2:$L$273,'Data Weekly'!$A$2:$A$273,$B$5,'Data Weekly'!$D$2:$D$273,$A9)</f>
        <v>877.69876765372999</v>
      </c>
      <c r="I9" s="3">
        <f>SUMIFS('Data Weekly'!$M$2:$M$273,'Data Weekly'!$A$2:$A$273,$B$5,'Data Weekly'!$D$2:$D$273,$A9)</f>
        <v>889.68641115966</v>
      </c>
      <c r="J9" s="3">
        <f>SUMIFS('Data Weekly'!$N$2:$N$273,'Data Weekly'!$A$2:$A$273,$B$5,'Data Weekly'!$D$2:$D$273,$A9)</f>
        <v>867.79986821642001</v>
      </c>
      <c r="K9" s="3">
        <f>SUMIFS('Data Weekly'!$O$2:$O$273,'Data Weekly'!$A$2:$A$273,$B$5,'Data Weekly'!$D$2:$D$273,$A9)</f>
        <v>845.67322906417996</v>
      </c>
      <c r="L9" s="3">
        <f>SUMIFS('Data Weekly'!$P$2:$P$273,'Data Weekly'!$A$2:$A$273,$B$5,'Data Weekly'!$D$2:$D$273,$A9)</f>
        <v>853.76018989833005</v>
      </c>
      <c r="M9" s="3">
        <f>SUMIFS('Data Weekly'!$Q$2:$Q$273,'Data Weekly'!$A$2:$A$273,$B$5,'Data Weekly'!$D$2:$D$273,$A9)</f>
        <v>917.50696122654995</v>
      </c>
      <c r="N9" s="3">
        <f>SUMIFS('Data Weekly'!$R$2:$R$273,'Data Weekly'!$A$2:$A$273,$B$5,'Data Weekly'!$D$2:$D$273,$A9)</f>
        <v>10627.065097208331</v>
      </c>
      <c r="O9" s="4" t="str">
        <f>IF(OR(LEFT($A9,1)="W",LEFT($A9,10)="Sales + P1"),SUMIFS('Data Weekly'!$S$2:$S$273,'Data Weekly'!$A$2:$A$273,$B$5,'Data Weekly'!$D$2:$D$273,$A9),"")</f>
        <v/>
      </c>
      <c r="P9" s="3">
        <f>SUMIFS('Data Weekly'!$T$2:$T$273,'Data Weekly'!$A$2:$A$273,$B$5,'Data Weekly'!$D$2:$D$273,$A9)</f>
        <v>0</v>
      </c>
      <c r="Q9" s="2" t="str">
        <f>IFERROR(LOOKUP(2,1/(('Data Weekly'!$A$2:$A$273=$B$5)*('Data Weekly'!$D$2:$D$273=$A9)),'Data Weekly'!$U$2:$U$273),"")</f>
        <v>Approved Budget 2026</v>
      </c>
    </row>
    <row r="10" spans="1:17" ht="13.2">
      <c r="A10" s="2" t="s">
        <v>50</v>
      </c>
      <c r="B10" s="3">
        <f>SUMIFS('Data Weekly'!$F$2:$F$273,'Data Weekly'!$A$2:$A$273,$B$5,'Data Weekly'!$D$2:$D$273,$A10)</f>
        <v>281</v>
      </c>
      <c r="C10" s="3">
        <f>SUMIFS('Data Weekly'!$G$2:$G$273,'Data Weekly'!$A$2:$A$273,$B$5,'Data Weekly'!$D$2:$D$273,$A10)</f>
        <v>20.45</v>
      </c>
      <c r="D10" s="3">
        <f>SUMIFS('Data Weekly'!$H$2:$H$273,'Data Weekly'!$A$2:$A$273,$B$5,'Data Weekly'!$D$2:$D$273,$A10)</f>
        <v>295.02</v>
      </c>
      <c r="E10" s="3">
        <f>SUMIFS('Data Weekly'!$I$2:$I$273,'Data Weekly'!$A$2:$A$273,$B$5,'Data Weekly'!$D$2:$D$273,$A10)</f>
        <v>9.14</v>
      </c>
      <c r="F10" s="3">
        <f>SUMIFS('Data Weekly'!$J$2:$J$273,'Data Weekly'!$A$2:$A$273,$B$5,'Data Weekly'!$D$2:$D$273,$A10)</f>
        <v>0</v>
      </c>
      <c r="G10" s="3">
        <f>SUMIFS('Data Weekly'!$K$2:$K$273,'Data Weekly'!$A$2:$A$273,$B$5,'Data Weekly'!$D$2:$D$273,$A10)</f>
        <v>0</v>
      </c>
      <c r="H10" s="3">
        <f>SUMIFS('Data Weekly'!$L$2:$L$273,'Data Weekly'!$A$2:$A$273,$B$5,'Data Weekly'!$D$2:$D$273,$A10)</f>
        <v>434</v>
      </c>
      <c r="I10" s="3">
        <f>SUMIFS('Data Weekly'!$M$2:$M$273,'Data Weekly'!$A$2:$A$273,$B$5,'Data Weekly'!$D$2:$D$273,$A10)</f>
        <v>239.09</v>
      </c>
      <c r="J10" s="3">
        <f>SUMIFS('Data Weekly'!$N$2:$N$273,'Data Weekly'!$A$2:$A$273,$B$5,'Data Weekly'!$D$2:$D$273,$A10)</f>
        <v>0</v>
      </c>
      <c r="K10" s="3">
        <f>SUMIFS('Data Weekly'!$O$2:$O$273,'Data Weekly'!$A$2:$A$273,$B$5,'Data Weekly'!$D$2:$D$273,$A10)</f>
        <v>0</v>
      </c>
      <c r="L10" s="3">
        <f>SUMIFS('Data Weekly'!$P$2:$P$273,'Data Weekly'!$A$2:$A$273,$B$5,'Data Weekly'!$D$2:$D$273,$A10)</f>
        <v>0</v>
      </c>
      <c r="M10" s="3">
        <f>SUMIFS('Data Weekly'!$Q$2:$Q$273,'Data Weekly'!$A$2:$A$273,$B$5,'Data Weekly'!$D$2:$D$273,$A10)</f>
        <v>13.87</v>
      </c>
      <c r="N10" s="3">
        <f>SUMIFS('Data Weekly'!$R$2:$R$273,'Data Weekly'!$A$2:$A$273,$B$5,'Data Weekly'!$D$2:$D$273,$A10)</f>
        <v>1292.57</v>
      </c>
      <c r="O10" s="4">
        <f>IF(OR(LEFT($A10,1)="W",LEFT($A10,10)="Sales + P1"),SUMIFS('Data Weekly'!$S$2:$S$273,'Data Weekly'!$A$2:$A$273,$B$5,'Data Weekly'!$D$2:$D$273,$A10),"")</f>
        <v>0.121630006796</v>
      </c>
      <c r="P10" s="3">
        <f>SUMIFS('Data Weekly'!$T$2:$T$273,'Data Weekly'!$A$2:$A$273,$B$5,'Data Weekly'!$D$2:$D$273,$A10)</f>
        <v>0</v>
      </c>
      <c r="Q10" s="2" t="str">
        <f>IFERROR(LOOKUP(2,1/(('Data Weekly'!$A$2:$A$273=$B$5)*('Data Weekly'!$D$2:$D$273=$A10)),'Data Weekly'!$U$2:$U$273),"")</f>
        <v>Global Follow Up · frozen weekly history</v>
      </c>
    </row>
    <row r="11" spans="1:17" ht="13.2">
      <c r="A11" s="2" t="s">
        <v>51</v>
      </c>
      <c r="B11" s="3">
        <f>SUMIFS('Data Weekly'!$F$2:$F$273,'Data Weekly'!$A$2:$A$273,$B$5,'Data Weekly'!$D$2:$D$273,$A11)</f>
        <v>310</v>
      </c>
      <c r="C11" s="3">
        <f>SUMIFS('Data Weekly'!$G$2:$G$273,'Data Weekly'!$A$2:$A$273,$B$5,'Data Weekly'!$D$2:$D$273,$A11)</f>
        <v>214</v>
      </c>
      <c r="D11" s="3">
        <f>SUMIFS('Data Weekly'!$H$2:$H$273,'Data Weekly'!$A$2:$A$273,$B$5,'Data Weekly'!$D$2:$D$273,$A11)</f>
        <v>165</v>
      </c>
      <c r="E11" s="3">
        <f>SUMIFS('Data Weekly'!$I$2:$I$273,'Data Weekly'!$A$2:$A$273,$B$5,'Data Weekly'!$D$2:$D$273,$A11)</f>
        <v>9</v>
      </c>
      <c r="F11" s="3">
        <f>SUMIFS('Data Weekly'!$J$2:$J$273,'Data Weekly'!$A$2:$A$273,$B$5,'Data Weekly'!$D$2:$D$273,$A11)</f>
        <v>0</v>
      </c>
      <c r="G11" s="3">
        <f>SUMIFS('Data Weekly'!$K$2:$K$273,'Data Weekly'!$A$2:$A$273,$B$5,'Data Weekly'!$D$2:$D$273,$A11)</f>
        <v>439</v>
      </c>
      <c r="H11" s="3">
        <f>SUMIFS('Data Weekly'!$L$2:$L$273,'Data Weekly'!$A$2:$A$273,$B$5,'Data Weekly'!$D$2:$D$273,$A11)</f>
        <v>0</v>
      </c>
      <c r="I11" s="3">
        <f>SUMIFS('Data Weekly'!$M$2:$M$273,'Data Weekly'!$A$2:$A$273,$B$5,'Data Weekly'!$D$2:$D$273,$A11)</f>
        <v>236</v>
      </c>
      <c r="J11" s="3">
        <f>SUMIFS('Data Weekly'!$N$2:$N$273,'Data Weekly'!$A$2:$A$273,$B$5,'Data Weekly'!$D$2:$D$273,$A11)</f>
        <v>0</v>
      </c>
      <c r="K11" s="3">
        <f>SUMIFS('Data Weekly'!$O$2:$O$273,'Data Weekly'!$A$2:$A$273,$B$5,'Data Weekly'!$D$2:$D$273,$A11)</f>
        <v>0</v>
      </c>
      <c r="L11" s="3">
        <f>SUMIFS('Data Weekly'!$P$2:$P$273,'Data Weekly'!$A$2:$A$273,$B$5,'Data Weekly'!$D$2:$D$273,$A11)</f>
        <v>0</v>
      </c>
      <c r="M11" s="3">
        <f>SUMIFS('Data Weekly'!$Q$2:$Q$273,'Data Weekly'!$A$2:$A$273,$B$5,'Data Weekly'!$D$2:$D$273,$A11)</f>
        <v>14</v>
      </c>
      <c r="N11" s="3">
        <f>SUMIFS('Data Weekly'!$R$2:$R$273,'Data Weekly'!$A$2:$A$273,$B$5,'Data Weekly'!$D$2:$D$273,$A11)</f>
        <v>1387</v>
      </c>
      <c r="O11" s="4">
        <f>IF(OR(LEFT($A11,1)="W",LEFT($A11,10)="Sales + P1"),SUMIFS('Data Weekly'!$S$2:$S$273,'Data Weekly'!$A$2:$A$273,$B$5,'Data Weekly'!$D$2:$D$273,$A11),"")</f>
        <v>0.13051580914499999</v>
      </c>
      <c r="P11" s="6">
        <f>SUMIFS('Data Weekly'!$T$2:$T$273,'Data Weekly'!$A$2:$A$273,$B$5,'Data Weekly'!$D$2:$D$273,$A11)</f>
        <v>94.43</v>
      </c>
      <c r="Q11" s="2" t="str">
        <f>IFERROR(LOOKUP(2,1/(('Data Weekly'!$A$2:$A$273=$B$5)*('Data Weekly'!$D$2:$D$273=$A11)),'Data Weekly'!$U$2:$U$273),"")</f>
        <v>Global Follow Up · frozen weekly history</v>
      </c>
    </row>
    <row r="12" spans="1:17" ht="13.2">
      <c r="A12" s="2" t="s">
        <v>52</v>
      </c>
      <c r="B12" s="3">
        <f>SUMIFS('Data Weekly'!$F$2:$F$273,'Data Weekly'!$A$2:$A$273,$B$5,'Data Weekly'!$D$2:$D$273,$A12)</f>
        <v>310</v>
      </c>
      <c r="C12" s="3">
        <f>SUMIFS('Data Weekly'!$G$2:$G$273,'Data Weekly'!$A$2:$A$273,$B$5,'Data Weekly'!$D$2:$D$273,$A12)</f>
        <v>214</v>
      </c>
      <c r="D12" s="3">
        <f>SUMIFS('Data Weekly'!$H$2:$H$273,'Data Weekly'!$A$2:$A$273,$B$5,'Data Weekly'!$D$2:$D$273,$A12)</f>
        <v>165</v>
      </c>
      <c r="E12" s="3">
        <f>SUMIFS('Data Weekly'!$I$2:$I$273,'Data Weekly'!$A$2:$A$273,$B$5,'Data Weekly'!$D$2:$D$273,$A12)</f>
        <v>9</v>
      </c>
      <c r="F12" s="3">
        <f>SUMIFS('Data Weekly'!$J$2:$J$273,'Data Weekly'!$A$2:$A$273,$B$5,'Data Weekly'!$D$2:$D$273,$A12)</f>
        <v>0</v>
      </c>
      <c r="G12" s="3">
        <f>SUMIFS('Data Weekly'!$K$2:$K$273,'Data Weekly'!$A$2:$A$273,$B$5,'Data Weekly'!$D$2:$D$273,$A12)</f>
        <v>439</v>
      </c>
      <c r="H12" s="3">
        <f>SUMIFS('Data Weekly'!$L$2:$L$273,'Data Weekly'!$A$2:$A$273,$B$5,'Data Weekly'!$D$2:$D$273,$A12)</f>
        <v>0</v>
      </c>
      <c r="I12" s="3">
        <f>SUMIFS('Data Weekly'!$M$2:$M$273,'Data Weekly'!$A$2:$A$273,$B$5,'Data Weekly'!$D$2:$D$273,$A12)</f>
        <v>236</v>
      </c>
      <c r="J12" s="3">
        <f>SUMIFS('Data Weekly'!$N$2:$N$273,'Data Weekly'!$A$2:$A$273,$B$5,'Data Weekly'!$D$2:$D$273,$A12)</f>
        <v>0</v>
      </c>
      <c r="K12" s="3">
        <f>SUMIFS('Data Weekly'!$O$2:$O$273,'Data Weekly'!$A$2:$A$273,$B$5,'Data Weekly'!$D$2:$D$273,$A12)</f>
        <v>0</v>
      </c>
      <c r="L12" s="3">
        <f>SUMIFS('Data Weekly'!$P$2:$P$273,'Data Weekly'!$A$2:$A$273,$B$5,'Data Weekly'!$D$2:$D$273,$A12)</f>
        <v>0</v>
      </c>
      <c r="M12" s="3">
        <f>SUMIFS('Data Weekly'!$Q$2:$Q$273,'Data Weekly'!$A$2:$A$273,$B$5,'Data Weekly'!$D$2:$D$273,$A12)</f>
        <v>14</v>
      </c>
      <c r="N12" s="3">
        <f>SUMIFS('Data Weekly'!$R$2:$R$273,'Data Weekly'!$A$2:$A$273,$B$5,'Data Weekly'!$D$2:$D$273,$A12)</f>
        <v>1387</v>
      </c>
      <c r="O12" s="4">
        <f>IF(OR(LEFT($A12,1)="W",LEFT($A12,10)="Sales + P1"),SUMIFS('Data Weekly'!$S$2:$S$273,'Data Weekly'!$A$2:$A$273,$B$5,'Data Weekly'!$D$2:$D$273,$A12),"")</f>
        <v>0.13051580914499999</v>
      </c>
      <c r="P12" s="3">
        <f>SUMIFS('Data Weekly'!$T$2:$T$273,'Data Weekly'!$A$2:$A$273,$B$5,'Data Weekly'!$D$2:$D$273,$A12)</f>
        <v>0</v>
      </c>
      <c r="Q12" s="2" t="str">
        <f>IFERROR(LOOKUP(2,1/(('Data Weekly'!$A$2:$A$273=$B$5)*('Data Weekly'!$D$2:$D$273=$A12)),'Data Weekly'!$U$2:$U$273),"")</f>
        <v>Global Follow Up · frozen weekly history</v>
      </c>
    </row>
    <row r="13" spans="1:17" ht="13.2">
      <c r="A13" s="2" t="s">
        <v>53</v>
      </c>
      <c r="B13" s="3">
        <f>SUMIFS('Data Weekly'!$F$2:$F$273,'Data Weekly'!$A$2:$A$273,$B$5,'Data Weekly'!$D$2:$D$273,$A13)</f>
        <v>310</v>
      </c>
      <c r="C13" s="3">
        <f>SUMIFS('Data Weekly'!$G$2:$G$273,'Data Weekly'!$A$2:$A$273,$B$5,'Data Weekly'!$D$2:$D$273,$A13)</f>
        <v>214</v>
      </c>
      <c r="D13" s="3">
        <f>SUMIFS('Data Weekly'!$H$2:$H$273,'Data Weekly'!$A$2:$A$273,$B$5,'Data Weekly'!$D$2:$D$273,$A13)</f>
        <v>165</v>
      </c>
      <c r="E13" s="3">
        <f>SUMIFS('Data Weekly'!$I$2:$I$273,'Data Weekly'!$A$2:$A$273,$B$5,'Data Weekly'!$D$2:$D$273,$A13)</f>
        <v>9</v>
      </c>
      <c r="F13" s="3">
        <f>SUMIFS('Data Weekly'!$J$2:$J$273,'Data Weekly'!$A$2:$A$273,$B$5,'Data Weekly'!$D$2:$D$273,$A13)</f>
        <v>0</v>
      </c>
      <c r="G13" s="3">
        <f>SUMIFS('Data Weekly'!$K$2:$K$273,'Data Weekly'!$A$2:$A$273,$B$5,'Data Weekly'!$D$2:$D$273,$A13)</f>
        <v>439</v>
      </c>
      <c r="H13" s="3">
        <f>SUMIFS('Data Weekly'!$L$2:$L$273,'Data Weekly'!$A$2:$A$273,$B$5,'Data Weekly'!$D$2:$D$273,$A13)</f>
        <v>0</v>
      </c>
      <c r="I13" s="3">
        <f>SUMIFS('Data Weekly'!$M$2:$M$273,'Data Weekly'!$A$2:$A$273,$B$5,'Data Weekly'!$D$2:$D$273,$A13)</f>
        <v>236</v>
      </c>
      <c r="J13" s="3">
        <f>SUMIFS('Data Weekly'!$N$2:$N$273,'Data Weekly'!$A$2:$A$273,$B$5,'Data Weekly'!$D$2:$D$273,$A13)</f>
        <v>0</v>
      </c>
      <c r="K13" s="3">
        <f>SUMIFS('Data Weekly'!$O$2:$O$273,'Data Weekly'!$A$2:$A$273,$B$5,'Data Weekly'!$D$2:$D$273,$A13)</f>
        <v>0</v>
      </c>
      <c r="L13" s="3">
        <f>SUMIFS('Data Weekly'!$P$2:$P$273,'Data Weekly'!$A$2:$A$273,$B$5,'Data Weekly'!$D$2:$D$273,$A13)</f>
        <v>0</v>
      </c>
      <c r="M13" s="3">
        <f>SUMIFS('Data Weekly'!$Q$2:$Q$273,'Data Weekly'!$A$2:$A$273,$B$5,'Data Weekly'!$D$2:$D$273,$A13)</f>
        <v>14</v>
      </c>
      <c r="N13" s="3">
        <f>SUMIFS('Data Weekly'!$R$2:$R$273,'Data Weekly'!$A$2:$A$273,$B$5,'Data Weekly'!$D$2:$D$273,$A13)</f>
        <v>1387</v>
      </c>
      <c r="O13" s="4">
        <f>IF(OR(LEFT($A13,1)="W",LEFT($A13,10)="Sales + P1"),SUMIFS('Data Weekly'!$S$2:$S$273,'Data Weekly'!$A$2:$A$273,$B$5,'Data Weekly'!$D$2:$D$273,$A13),"")</f>
        <v>0.13051580914499999</v>
      </c>
      <c r="P13" s="3">
        <f>SUMIFS('Data Weekly'!$T$2:$T$273,'Data Weekly'!$A$2:$A$273,$B$5,'Data Weekly'!$D$2:$D$273,$A13)</f>
        <v>0</v>
      </c>
      <c r="Q13" s="2" t="str">
        <f>IFERROR(LOOKUP(2,1/(('Data Weekly'!$A$2:$A$273=$B$5)*('Data Weekly'!$D$2:$D$273=$A13)),'Data Weekly'!$U$2:$U$273),"")</f>
        <v>Global Follow Up · frozen weekly history</v>
      </c>
    </row>
    <row r="14" spans="1:17" ht="13.2">
      <c r="A14" s="2" t="s">
        <v>54</v>
      </c>
      <c r="B14" s="3">
        <f>SUMIFS('Data Weekly'!$F$2:$F$273,'Data Weekly'!$A$2:$A$273,$B$5,'Data Weekly'!$D$2:$D$273,$A14)</f>
        <v>310</v>
      </c>
      <c r="C14" s="3">
        <f>SUMIFS('Data Weekly'!$G$2:$G$273,'Data Weekly'!$A$2:$A$273,$B$5,'Data Weekly'!$D$2:$D$273,$A14)</f>
        <v>49</v>
      </c>
      <c r="D14" s="3">
        <f>SUMIFS('Data Weekly'!$H$2:$H$273,'Data Weekly'!$A$2:$A$273,$B$5,'Data Weekly'!$D$2:$D$273,$A14)</f>
        <v>326</v>
      </c>
      <c r="E14" s="3">
        <f>SUMIFS('Data Weekly'!$I$2:$I$273,'Data Weekly'!$A$2:$A$273,$B$5,'Data Weekly'!$D$2:$D$273,$A14)</f>
        <v>28</v>
      </c>
      <c r="F14" s="3">
        <f>SUMIFS('Data Weekly'!$J$2:$J$273,'Data Weekly'!$A$2:$A$273,$B$5,'Data Weekly'!$D$2:$D$273,$A14)</f>
        <v>0</v>
      </c>
      <c r="G14" s="3">
        <f>SUMIFS('Data Weekly'!$K$2:$K$273,'Data Weekly'!$A$2:$A$273,$B$5,'Data Weekly'!$D$2:$D$273,$A14)</f>
        <v>434</v>
      </c>
      <c r="H14" s="3">
        <f>SUMIFS('Data Weekly'!$L$2:$L$273,'Data Weekly'!$A$2:$A$273,$B$5,'Data Weekly'!$D$2:$D$273,$A14)</f>
        <v>0</v>
      </c>
      <c r="I14" s="3">
        <f>SUMIFS('Data Weekly'!$M$2:$M$273,'Data Weekly'!$A$2:$A$273,$B$5,'Data Weekly'!$D$2:$D$273,$A14)</f>
        <v>236</v>
      </c>
      <c r="J14" s="3">
        <f>SUMIFS('Data Weekly'!$N$2:$N$273,'Data Weekly'!$A$2:$A$273,$B$5,'Data Weekly'!$D$2:$D$273,$A14)</f>
        <v>0</v>
      </c>
      <c r="K14" s="3">
        <f>SUMIFS('Data Weekly'!$O$2:$O$273,'Data Weekly'!$A$2:$A$273,$B$5,'Data Weekly'!$D$2:$D$273,$A14)</f>
        <v>0</v>
      </c>
      <c r="L14" s="3">
        <f>SUMIFS('Data Weekly'!$P$2:$P$273,'Data Weekly'!$A$2:$A$273,$B$5,'Data Weekly'!$D$2:$D$273,$A14)</f>
        <v>0</v>
      </c>
      <c r="M14" s="3">
        <f>SUMIFS('Data Weekly'!$Q$2:$Q$273,'Data Weekly'!$A$2:$A$273,$B$5,'Data Weekly'!$D$2:$D$273,$A14)</f>
        <v>14</v>
      </c>
      <c r="N14" s="3">
        <f>SUMIFS('Data Weekly'!$R$2:$R$273,'Data Weekly'!$A$2:$A$273,$B$5,'Data Weekly'!$D$2:$D$273,$A14)</f>
        <v>1397</v>
      </c>
      <c r="O14" s="4">
        <f>IF(OR(LEFT($A14,1)="W",LEFT($A14,10)="Sales + P1"),SUMIFS('Data Weekly'!$S$2:$S$273,'Data Weekly'!$A$2:$A$273,$B$5,'Data Weekly'!$D$2:$D$273,$A14),"")</f>
        <v>0.131456802722</v>
      </c>
      <c r="P14" s="6">
        <f>SUMIFS('Data Weekly'!$T$2:$T$273,'Data Weekly'!$A$2:$A$273,$B$5,'Data Weekly'!$D$2:$D$273,$A14)</f>
        <v>10</v>
      </c>
      <c r="Q14" s="2" t="str">
        <f>IFERROR(LOOKUP(2,1/(('Data Weekly'!$A$2:$A$273=$B$5)*('Data Weekly'!$D$2:$D$273=$A14)),'Data Weekly'!$U$2:$U$273),"")</f>
        <v>Global Follow Up · frozen weekly history</v>
      </c>
    </row>
    <row r="15" spans="1:17" ht="13.2">
      <c r="A15" s="2" t="s">
        <v>55</v>
      </c>
      <c r="B15" s="3">
        <f>SUMIFS('Data Weekly'!$F$2:$F$273,'Data Weekly'!$A$2:$A$273,$B$5,'Data Weekly'!$D$2:$D$273,$A15)</f>
        <v>310</v>
      </c>
      <c r="C15" s="3">
        <f>SUMIFS('Data Weekly'!$G$2:$G$273,'Data Weekly'!$A$2:$A$273,$B$5,'Data Weekly'!$D$2:$D$273,$A15)</f>
        <v>49</v>
      </c>
      <c r="D15" s="3">
        <f>SUMIFS('Data Weekly'!$H$2:$H$273,'Data Weekly'!$A$2:$A$273,$B$5,'Data Weekly'!$D$2:$D$273,$A15)</f>
        <v>330</v>
      </c>
      <c r="E15" s="3">
        <f>SUMIFS('Data Weekly'!$I$2:$I$273,'Data Weekly'!$A$2:$A$273,$B$5,'Data Weekly'!$D$2:$D$273,$A15)</f>
        <v>28</v>
      </c>
      <c r="F15" s="3">
        <f>SUMIFS('Data Weekly'!$J$2:$J$273,'Data Weekly'!$A$2:$A$273,$B$5,'Data Weekly'!$D$2:$D$273,$A15)</f>
        <v>0</v>
      </c>
      <c r="G15" s="3">
        <f>SUMIFS('Data Weekly'!$K$2:$K$273,'Data Weekly'!$A$2:$A$273,$B$5,'Data Weekly'!$D$2:$D$273,$A15)</f>
        <v>434</v>
      </c>
      <c r="H15" s="3">
        <f>SUMIFS('Data Weekly'!$L$2:$L$273,'Data Weekly'!$A$2:$A$273,$B$5,'Data Weekly'!$D$2:$D$273,$A15)</f>
        <v>0</v>
      </c>
      <c r="I15" s="3">
        <f>SUMIFS('Data Weekly'!$M$2:$M$273,'Data Weekly'!$A$2:$A$273,$B$5,'Data Weekly'!$D$2:$D$273,$A15)</f>
        <v>243</v>
      </c>
      <c r="J15" s="3">
        <f>SUMIFS('Data Weekly'!$N$2:$N$273,'Data Weekly'!$A$2:$A$273,$B$5,'Data Weekly'!$D$2:$D$273,$A15)</f>
        <v>0</v>
      </c>
      <c r="K15" s="3">
        <f>SUMIFS('Data Weekly'!$O$2:$O$273,'Data Weekly'!$A$2:$A$273,$B$5,'Data Weekly'!$D$2:$D$273,$A15)</f>
        <v>0</v>
      </c>
      <c r="L15" s="3">
        <f>SUMIFS('Data Weekly'!$P$2:$P$273,'Data Weekly'!$A$2:$A$273,$B$5,'Data Weekly'!$D$2:$D$273,$A15)</f>
        <v>0</v>
      </c>
      <c r="M15" s="3">
        <f>SUMIFS('Data Weekly'!$Q$2:$Q$273,'Data Weekly'!$A$2:$A$273,$B$5,'Data Weekly'!$D$2:$D$273,$A15)</f>
        <v>14</v>
      </c>
      <c r="N15" s="3">
        <f>SUMIFS('Data Weekly'!$R$2:$R$273,'Data Weekly'!$A$2:$A$273,$B$5,'Data Weekly'!$D$2:$D$273,$A15)</f>
        <v>1408</v>
      </c>
      <c r="O15" s="4">
        <f>IF(OR(LEFT($A15,1)="W",LEFT($A15,10)="Sales + P1"),SUMIFS('Data Weekly'!$S$2:$S$273,'Data Weekly'!$A$2:$A$273,$B$5,'Data Weekly'!$D$2:$D$273,$A15),"")</f>
        <v>0.13249189565700001</v>
      </c>
      <c r="P15" s="6">
        <f>SUMIFS('Data Weekly'!$T$2:$T$273,'Data Weekly'!$A$2:$A$273,$B$5,'Data Weekly'!$D$2:$D$273,$A15)</f>
        <v>11</v>
      </c>
      <c r="Q15" s="2" t="str">
        <f>IFERROR(LOOKUP(2,1/(('Data Weekly'!$A$2:$A$273=$B$5)*('Data Weekly'!$D$2:$D$273=$A15)),'Data Weekly'!$U$2:$U$273),"")</f>
        <v>Global Follow Up · frozen weekly history</v>
      </c>
    </row>
    <row r="16" spans="1:17" ht="13.2">
      <c r="A16" s="2" t="s">
        <v>56</v>
      </c>
      <c r="B16" s="3">
        <f>SUMIFS('Data Weekly'!$F$2:$F$273,'Data Weekly'!$A$2:$A$273,$B$5,'Data Weekly'!$D$2:$D$273,$A16)</f>
        <v>310</v>
      </c>
      <c r="C16" s="3">
        <f>SUMIFS('Data Weekly'!$G$2:$G$273,'Data Weekly'!$A$2:$A$273,$B$5,'Data Weekly'!$D$2:$D$273,$A16)</f>
        <v>49</v>
      </c>
      <c r="D16" s="3">
        <f>SUMIFS('Data Weekly'!$H$2:$H$273,'Data Weekly'!$A$2:$A$273,$B$5,'Data Weekly'!$D$2:$D$273,$A16)</f>
        <v>278</v>
      </c>
      <c r="E16" s="3">
        <f>SUMIFS('Data Weekly'!$I$2:$I$273,'Data Weekly'!$A$2:$A$273,$B$5,'Data Weekly'!$D$2:$D$273,$A16)</f>
        <v>193</v>
      </c>
      <c r="F16" s="3">
        <f>SUMIFS('Data Weekly'!$J$2:$J$273,'Data Weekly'!$A$2:$A$273,$B$5,'Data Weekly'!$D$2:$D$273,$A16)</f>
        <v>0</v>
      </c>
      <c r="G16" s="3">
        <f>SUMIFS('Data Weekly'!$K$2:$K$273,'Data Weekly'!$A$2:$A$273,$B$5,'Data Weekly'!$D$2:$D$273,$A16)</f>
        <v>439</v>
      </c>
      <c r="H16" s="3">
        <f>SUMIFS('Data Weekly'!$L$2:$L$273,'Data Weekly'!$A$2:$A$273,$B$5,'Data Weekly'!$D$2:$D$273,$A16)</f>
        <v>0</v>
      </c>
      <c r="I16" s="3">
        <f>SUMIFS('Data Weekly'!$M$2:$M$273,'Data Weekly'!$A$2:$A$273,$B$5,'Data Weekly'!$D$2:$D$273,$A16)</f>
        <v>342</v>
      </c>
      <c r="J16" s="3">
        <f>SUMIFS('Data Weekly'!$N$2:$N$273,'Data Weekly'!$A$2:$A$273,$B$5,'Data Weekly'!$D$2:$D$273,$A16)</f>
        <v>0</v>
      </c>
      <c r="K16" s="3">
        <f>SUMIFS('Data Weekly'!$O$2:$O$273,'Data Weekly'!$A$2:$A$273,$B$5,'Data Weekly'!$D$2:$D$273,$A16)</f>
        <v>0</v>
      </c>
      <c r="L16" s="3">
        <f>SUMIFS('Data Weekly'!$P$2:$P$273,'Data Weekly'!$A$2:$A$273,$B$5,'Data Weekly'!$D$2:$D$273,$A16)</f>
        <v>0</v>
      </c>
      <c r="M16" s="3">
        <f>SUMIFS('Data Weekly'!$Q$2:$Q$273,'Data Weekly'!$A$2:$A$273,$B$5,'Data Weekly'!$D$2:$D$273,$A16)</f>
        <v>14</v>
      </c>
      <c r="N16" s="3">
        <f>SUMIFS('Data Weekly'!$R$2:$R$273,'Data Weekly'!$A$2:$A$273,$B$5,'Data Weekly'!$D$2:$D$273,$A16)</f>
        <v>1625</v>
      </c>
      <c r="O16" s="4">
        <f>IF(OR(LEFT($A16,1)="W",LEFT($A16,10)="Sales + P1"),SUMIFS('Data Weekly'!$S$2:$S$273,'Data Weekly'!$A$2:$A$273,$B$5,'Data Weekly'!$D$2:$D$273,$A16),"")</f>
        <v>0.15291145628</v>
      </c>
      <c r="P16" s="6">
        <f>SUMIFS('Data Weekly'!$T$2:$T$273,'Data Weekly'!$A$2:$A$273,$B$5,'Data Weekly'!$D$2:$D$273,$A16)</f>
        <v>217</v>
      </c>
      <c r="Q16" s="2" t="str">
        <f>IFERROR(LOOKUP(2,1/(('Data Weekly'!$A$2:$A$273=$B$5)*('Data Weekly'!$D$2:$D$273=$A16)),'Data Weekly'!$U$2:$U$273),"")</f>
        <v>Global Follow Up · frozen weekly history</v>
      </c>
    </row>
    <row r="17" spans="1:17" ht="13.2">
      <c r="A17" s="2" t="s">
        <v>57</v>
      </c>
      <c r="B17" s="3">
        <f>SUMIFS('Data Weekly'!$F$2:$F$273,'Data Weekly'!$A$2:$A$273,$B$5,'Data Weekly'!$D$2:$D$273,$A17)</f>
        <v>310</v>
      </c>
      <c r="C17" s="3">
        <f>SUMIFS('Data Weekly'!$G$2:$G$273,'Data Weekly'!$A$2:$A$273,$B$5,'Data Weekly'!$D$2:$D$273,$A17)</f>
        <v>49</v>
      </c>
      <c r="D17" s="3">
        <f>SUMIFS('Data Weekly'!$H$2:$H$273,'Data Weekly'!$A$2:$A$273,$B$5,'Data Weekly'!$D$2:$D$273,$A17)</f>
        <v>304</v>
      </c>
      <c r="E17" s="3">
        <f>SUMIFS('Data Weekly'!$I$2:$I$273,'Data Weekly'!$A$2:$A$273,$B$5,'Data Weekly'!$D$2:$D$273,$A17)</f>
        <v>257</v>
      </c>
      <c r="F17" s="3">
        <f>SUMIFS('Data Weekly'!$J$2:$J$273,'Data Weekly'!$A$2:$A$273,$B$5,'Data Weekly'!$D$2:$D$273,$A17)</f>
        <v>1</v>
      </c>
      <c r="G17" s="3">
        <f>SUMIFS('Data Weekly'!$K$2:$K$273,'Data Weekly'!$A$2:$A$273,$B$5,'Data Weekly'!$D$2:$D$273,$A17)</f>
        <v>847</v>
      </c>
      <c r="H17" s="3">
        <f>SUMIFS('Data Weekly'!$L$2:$L$273,'Data Weekly'!$A$2:$A$273,$B$5,'Data Weekly'!$D$2:$D$273,$A17)</f>
        <v>96</v>
      </c>
      <c r="I17" s="3">
        <f>SUMIFS('Data Weekly'!$M$2:$M$273,'Data Weekly'!$A$2:$A$273,$B$5,'Data Weekly'!$D$2:$D$273,$A17)</f>
        <v>342</v>
      </c>
      <c r="J17" s="3">
        <f>SUMIFS('Data Weekly'!$N$2:$N$273,'Data Weekly'!$A$2:$A$273,$B$5,'Data Weekly'!$D$2:$D$273,$A17)</f>
        <v>0</v>
      </c>
      <c r="K17" s="3">
        <f>SUMIFS('Data Weekly'!$O$2:$O$273,'Data Weekly'!$A$2:$A$273,$B$5,'Data Weekly'!$D$2:$D$273,$A17)</f>
        <v>0</v>
      </c>
      <c r="L17" s="3">
        <f>SUMIFS('Data Weekly'!$P$2:$P$273,'Data Weekly'!$A$2:$A$273,$B$5,'Data Weekly'!$D$2:$D$273,$A17)</f>
        <v>0</v>
      </c>
      <c r="M17" s="3">
        <f>SUMIFS('Data Weekly'!$Q$2:$Q$273,'Data Weekly'!$A$2:$A$273,$B$5,'Data Weekly'!$D$2:$D$273,$A17)</f>
        <v>14</v>
      </c>
      <c r="N17" s="3">
        <f>SUMIFS('Data Weekly'!$R$2:$R$273,'Data Weekly'!$A$2:$A$273,$B$5,'Data Weekly'!$D$2:$D$273,$A17)</f>
        <v>2220</v>
      </c>
      <c r="O17" s="4">
        <f>IF(OR(LEFT($A17,1)="W",LEFT($A17,10)="Sales + P1"),SUMIFS('Data Weekly'!$S$2:$S$273,'Data Weekly'!$A$2:$A$273,$B$5,'Data Weekly'!$D$2:$D$273,$A17),"")</f>
        <v>0.208900574118</v>
      </c>
      <c r="P17" s="6">
        <f>SUMIFS('Data Weekly'!$T$2:$T$273,'Data Weekly'!$A$2:$A$273,$B$5,'Data Weekly'!$D$2:$D$273,$A17)</f>
        <v>595</v>
      </c>
      <c r="Q17" s="2" t="str">
        <f>IFERROR(LOOKUP(2,1/(('Data Weekly'!$A$2:$A$273=$B$5)*('Data Weekly'!$D$2:$D$273=$A17)),'Data Weekly'!$U$2:$U$273),"")</f>
        <v>Global Follow Up · frozen weekly history</v>
      </c>
    </row>
    <row r="18" spans="1:17" ht="13.2">
      <c r="A18" s="2" t="s">
        <v>58</v>
      </c>
      <c r="B18" s="3">
        <f>SUMIFS('Data Weekly'!$F$2:$F$273,'Data Weekly'!$A$2:$A$273,$B$5,'Data Weekly'!$D$2:$D$273,$A18)</f>
        <v>310</v>
      </c>
      <c r="C18" s="3">
        <f>SUMIFS('Data Weekly'!$G$2:$G$273,'Data Weekly'!$A$2:$A$273,$B$5,'Data Weekly'!$D$2:$D$273,$A18)</f>
        <v>49</v>
      </c>
      <c r="D18" s="3">
        <f>SUMIFS('Data Weekly'!$H$2:$H$273,'Data Weekly'!$A$2:$A$273,$B$5,'Data Weekly'!$D$2:$D$273,$A18)</f>
        <v>266</v>
      </c>
      <c r="E18" s="3">
        <f>SUMIFS('Data Weekly'!$I$2:$I$273,'Data Weekly'!$A$2:$A$273,$B$5,'Data Weekly'!$D$2:$D$273,$A18)</f>
        <v>250</v>
      </c>
      <c r="F18" s="3">
        <f>SUMIFS('Data Weekly'!$J$2:$J$273,'Data Weekly'!$A$2:$A$273,$B$5,'Data Weekly'!$D$2:$D$273,$A18)</f>
        <v>1</v>
      </c>
      <c r="G18" s="3">
        <f>SUMIFS('Data Weekly'!$K$2:$K$273,'Data Weekly'!$A$2:$A$273,$B$5,'Data Weekly'!$D$2:$D$273,$A18)</f>
        <v>567</v>
      </c>
      <c r="H18" s="3">
        <f>SUMIFS('Data Weekly'!$L$2:$L$273,'Data Weekly'!$A$2:$A$273,$B$5,'Data Weekly'!$D$2:$D$273,$A18)</f>
        <v>58</v>
      </c>
      <c r="I18" s="3">
        <f>SUMIFS('Data Weekly'!$M$2:$M$273,'Data Weekly'!$A$2:$A$273,$B$5,'Data Weekly'!$D$2:$D$273,$A18)</f>
        <v>342</v>
      </c>
      <c r="J18" s="3">
        <f>SUMIFS('Data Weekly'!$N$2:$N$273,'Data Weekly'!$A$2:$A$273,$B$5,'Data Weekly'!$D$2:$D$273,$A18)</f>
        <v>0</v>
      </c>
      <c r="K18" s="3">
        <f>SUMIFS('Data Weekly'!$O$2:$O$273,'Data Weekly'!$A$2:$A$273,$B$5,'Data Weekly'!$D$2:$D$273,$A18)</f>
        <v>0</v>
      </c>
      <c r="L18" s="3">
        <f>SUMIFS('Data Weekly'!$P$2:$P$273,'Data Weekly'!$A$2:$A$273,$B$5,'Data Weekly'!$D$2:$D$273,$A18)</f>
        <v>0</v>
      </c>
      <c r="M18" s="3">
        <f>SUMIFS('Data Weekly'!$Q$2:$Q$273,'Data Weekly'!$A$2:$A$273,$B$5,'Data Weekly'!$D$2:$D$273,$A18)</f>
        <v>14</v>
      </c>
      <c r="N18" s="3">
        <f>SUMIFS('Data Weekly'!$R$2:$R$273,'Data Weekly'!$A$2:$A$273,$B$5,'Data Weekly'!$D$2:$D$273,$A18)</f>
        <v>1857</v>
      </c>
      <c r="O18" s="4">
        <f>IF(OR(LEFT($A18,1)="W",LEFT($A18,10)="Sales + P1"),SUMIFS('Data Weekly'!$S$2:$S$273,'Data Weekly'!$A$2:$A$273,$B$5,'Data Weekly'!$D$2:$D$273,$A18),"")</f>
        <v>0.17474250726900001</v>
      </c>
      <c r="P18" s="7">
        <f>SUMIFS('Data Weekly'!$T$2:$T$273,'Data Weekly'!$A$2:$A$273,$B$5,'Data Weekly'!$D$2:$D$273,$A18)</f>
        <v>-363</v>
      </c>
      <c r="Q18" s="2" t="str">
        <f>IFERROR(LOOKUP(2,1/(('Data Weekly'!$A$2:$A$273=$B$5)*('Data Weekly'!$D$2:$D$273=$A18)),'Data Weekly'!$U$2:$U$273),"")</f>
        <v>Global Follow Up · frozen weekly history</v>
      </c>
    </row>
    <row r="19" spans="1:17" ht="13.2">
      <c r="A19" s="2" t="s">
        <v>59</v>
      </c>
      <c r="B19" s="3">
        <f>SUMIFS('Data Weekly'!$F$2:$F$273,'Data Weekly'!$A$2:$A$273,$B$5,'Data Weekly'!$D$2:$D$273,$A19)</f>
        <v>310</v>
      </c>
      <c r="C19" s="3">
        <f>SUMIFS('Data Weekly'!$G$2:$G$273,'Data Weekly'!$A$2:$A$273,$B$5,'Data Weekly'!$D$2:$D$273,$A19)</f>
        <v>49</v>
      </c>
      <c r="D19" s="3">
        <f>SUMIFS('Data Weekly'!$H$2:$H$273,'Data Weekly'!$A$2:$A$273,$B$5,'Data Weekly'!$D$2:$D$273,$A19)</f>
        <v>251</v>
      </c>
      <c r="E19" s="3">
        <f>SUMIFS('Data Weekly'!$I$2:$I$273,'Data Weekly'!$A$2:$A$273,$B$5,'Data Weekly'!$D$2:$D$273,$A19)</f>
        <v>312</v>
      </c>
      <c r="F19" s="3">
        <f>SUMIFS('Data Weekly'!$J$2:$J$273,'Data Weekly'!$A$2:$A$273,$B$5,'Data Weekly'!$D$2:$D$273,$A19)</f>
        <v>62</v>
      </c>
      <c r="G19" s="3">
        <f>SUMIFS('Data Weekly'!$K$2:$K$273,'Data Weekly'!$A$2:$A$273,$B$5,'Data Weekly'!$D$2:$D$273,$A19)</f>
        <v>581</v>
      </c>
      <c r="H19" s="3">
        <f>SUMIFS('Data Weekly'!$L$2:$L$273,'Data Weekly'!$A$2:$A$273,$B$5,'Data Weekly'!$D$2:$D$273,$A19)</f>
        <v>0</v>
      </c>
      <c r="I19" s="3">
        <f>SUMIFS('Data Weekly'!$M$2:$M$273,'Data Weekly'!$A$2:$A$273,$B$5,'Data Weekly'!$D$2:$D$273,$A19)</f>
        <v>349</v>
      </c>
      <c r="J19" s="3">
        <f>SUMIFS('Data Weekly'!$N$2:$N$273,'Data Weekly'!$A$2:$A$273,$B$5,'Data Weekly'!$D$2:$D$273,$A19)</f>
        <v>0</v>
      </c>
      <c r="K19" s="3">
        <f>SUMIFS('Data Weekly'!$O$2:$O$273,'Data Weekly'!$A$2:$A$273,$B$5,'Data Weekly'!$D$2:$D$273,$A19)</f>
        <v>0</v>
      </c>
      <c r="L19" s="3">
        <f>SUMIFS('Data Weekly'!$P$2:$P$273,'Data Weekly'!$A$2:$A$273,$B$5,'Data Weekly'!$D$2:$D$273,$A19)</f>
        <v>0</v>
      </c>
      <c r="M19" s="3">
        <f>SUMIFS('Data Weekly'!$Q$2:$Q$273,'Data Weekly'!$A$2:$A$273,$B$5,'Data Weekly'!$D$2:$D$273,$A19)</f>
        <v>14</v>
      </c>
      <c r="N19" s="3">
        <f>SUMIFS('Data Weekly'!$R$2:$R$273,'Data Weekly'!$A$2:$A$273,$B$5,'Data Weekly'!$D$2:$D$273,$A19)</f>
        <v>1928</v>
      </c>
      <c r="O19" s="4">
        <f>IF(OR(LEFT($A19,1)="W",LEFT($A19,10)="Sales + P1"),SUMIFS('Data Weekly'!$S$2:$S$273,'Data Weekly'!$A$2:$A$273,$B$5,'Data Weekly'!$D$2:$D$273,$A19),"")</f>
        <v>0.18142356166699999</v>
      </c>
      <c r="P19" s="6">
        <f>SUMIFS('Data Weekly'!$T$2:$T$273,'Data Weekly'!$A$2:$A$273,$B$5,'Data Weekly'!$D$2:$D$273,$A19)</f>
        <v>71</v>
      </c>
      <c r="Q19" s="2" t="str">
        <f>IFERROR(LOOKUP(2,1/(('Data Weekly'!$A$2:$A$273=$B$5)*('Data Weekly'!$D$2:$D$273=$A19)),'Data Weekly'!$U$2:$U$273),"")</f>
        <v>Global Follow Up · frozen weekly history</v>
      </c>
    </row>
    <row r="20" spans="1:17" ht="13.2">
      <c r="A20" s="2" t="s">
        <v>60</v>
      </c>
      <c r="B20" s="3">
        <f>SUMIFS('Data Weekly'!$F$2:$F$273,'Data Weekly'!$A$2:$A$273,$B$5,'Data Weekly'!$D$2:$D$273,$A20)</f>
        <v>310</v>
      </c>
      <c r="C20" s="3">
        <f>SUMIFS('Data Weekly'!$G$2:$G$273,'Data Weekly'!$A$2:$A$273,$B$5,'Data Weekly'!$D$2:$D$273,$A20)</f>
        <v>49</v>
      </c>
      <c r="D20" s="3">
        <f>SUMIFS('Data Weekly'!$H$2:$H$273,'Data Weekly'!$A$2:$A$273,$B$5,'Data Weekly'!$D$2:$D$273,$A20)</f>
        <v>251</v>
      </c>
      <c r="E20" s="3">
        <f>SUMIFS('Data Weekly'!$I$2:$I$273,'Data Weekly'!$A$2:$A$273,$B$5,'Data Weekly'!$D$2:$D$273,$A20)</f>
        <v>321</v>
      </c>
      <c r="F20" s="3">
        <f>SUMIFS('Data Weekly'!$J$2:$J$273,'Data Weekly'!$A$2:$A$273,$B$5,'Data Weekly'!$D$2:$D$273,$A20)</f>
        <v>73</v>
      </c>
      <c r="G20" s="3">
        <f>SUMIFS('Data Weekly'!$K$2:$K$273,'Data Weekly'!$A$2:$A$273,$B$5,'Data Weekly'!$D$2:$D$273,$A20)</f>
        <v>572</v>
      </c>
      <c r="H20" s="3">
        <f>SUMIFS('Data Weekly'!$L$2:$L$273,'Data Weekly'!$A$2:$A$273,$B$5,'Data Weekly'!$D$2:$D$273,$A20)</f>
        <v>0</v>
      </c>
      <c r="I20" s="3">
        <f>SUMIFS('Data Weekly'!$M$2:$M$273,'Data Weekly'!$A$2:$A$273,$B$5,'Data Weekly'!$D$2:$D$273,$A20)</f>
        <v>349</v>
      </c>
      <c r="J20" s="3">
        <f>SUMIFS('Data Weekly'!$N$2:$N$273,'Data Weekly'!$A$2:$A$273,$B$5,'Data Weekly'!$D$2:$D$273,$A20)</f>
        <v>0</v>
      </c>
      <c r="K20" s="3">
        <f>SUMIFS('Data Weekly'!$O$2:$O$273,'Data Weekly'!$A$2:$A$273,$B$5,'Data Weekly'!$D$2:$D$273,$A20)</f>
        <v>0</v>
      </c>
      <c r="L20" s="3">
        <f>SUMIFS('Data Weekly'!$P$2:$P$273,'Data Weekly'!$A$2:$A$273,$B$5,'Data Weekly'!$D$2:$D$273,$A20)</f>
        <v>0</v>
      </c>
      <c r="M20" s="3">
        <f>SUMIFS('Data Weekly'!$Q$2:$Q$273,'Data Weekly'!$A$2:$A$273,$B$5,'Data Weekly'!$D$2:$D$273,$A20)</f>
        <v>14</v>
      </c>
      <c r="N20" s="3">
        <f>SUMIFS('Data Weekly'!$R$2:$R$273,'Data Weekly'!$A$2:$A$273,$B$5,'Data Weekly'!$D$2:$D$273,$A20)</f>
        <v>1939</v>
      </c>
      <c r="O20" s="4">
        <f>IF(OR(LEFT($A20,1)="W",LEFT($A20,10)="Sales + P1"),SUMIFS('Data Weekly'!$S$2:$S$273,'Data Weekly'!$A$2:$A$273,$B$5,'Data Weekly'!$D$2:$D$273,$A20),"")</f>
        <v>0.182458654602</v>
      </c>
      <c r="P20" s="6">
        <f>SUMIFS('Data Weekly'!$T$2:$T$273,'Data Weekly'!$A$2:$A$273,$B$5,'Data Weekly'!$D$2:$D$273,$A20)</f>
        <v>11</v>
      </c>
      <c r="Q20" s="2" t="str">
        <f>IFERROR(LOOKUP(2,1/(('Data Weekly'!$A$2:$A$273=$B$5)*('Data Weekly'!$D$2:$D$273=$A20)),'Data Weekly'!$U$2:$U$273),"")</f>
        <v>Global Follow Up · frozen weekly history</v>
      </c>
    </row>
    <row r="21" spans="1:17" ht="13.2">
      <c r="A21" s="2" t="s">
        <v>61</v>
      </c>
      <c r="B21" s="3">
        <f>SUMIFS('Data Weekly'!$F$2:$F$273,'Data Weekly'!$A$2:$A$273,$B$5,'Data Weekly'!$D$2:$D$273,$A21)</f>
        <v>310</v>
      </c>
      <c r="C21" s="3">
        <f>SUMIFS('Data Weekly'!$G$2:$G$273,'Data Weekly'!$A$2:$A$273,$B$5,'Data Weekly'!$D$2:$D$273,$A21)</f>
        <v>49</v>
      </c>
      <c r="D21" s="3">
        <f>SUMIFS('Data Weekly'!$H$2:$H$273,'Data Weekly'!$A$2:$A$273,$B$5,'Data Weekly'!$D$2:$D$273,$A21)</f>
        <v>251</v>
      </c>
      <c r="E21" s="3">
        <f>SUMIFS('Data Weekly'!$I$2:$I$273,'Data Weekly'!$A$2:$A$273,$B$5,'Data Weekly'!$D$2:$D$273,$A21)</f>
        <v>314</v>
      </c>
      <c r="F21" s="3">
        <f>SUMIFS('Data Weekly'!$J$2:$J$273,'Data Weekly'!$A$2:$A$273,$B$5,'Data Weekly'!$D$2:$D$273,$A21)</f>
        <v>81</v>
      </c>
      <c r="G21" s="3">
        <f>SUMIFS('Data Weekly'!$K$2:$K$273,'Data Weekly'!$A$2:$A$273,$B$5,'Data Weekly'!$D$2:$D$273,$A21)</f>
        <v>568</v>
      </c>
      <c r="H21" s="3">
        <f>SUMIFS('Data Weekly'!$L$2:$L$273,'Data Weekly'!$A$2:$A$273,$B$5,'Data Weekly'!$D$2:$D$273,$A21)</f>
        <v>0</v>
      </c>
      <c r="I21" s="3">
        <f>SUMIFS('Data Weekly'!$M$2:$M$273,'Data Weekly'!$A$2:$A$273,$B$5,'Data Weekly'!$D$2:$D$273,$A21)</f>
        <v>336</v>
      </c>
      <c r="J21" s="3">
        <f>SUMIFS('Data Weekly'!$N$2:$N$273,'Data Weekly'!$A$2:$A$273,$B$5,'Data Weekly'!$D$2:$D$273,$A21)</f>
        <v>0</v>
      </c>
      <c r="K21" s="3">
        <f>SUMIFS('Data Weekly'!$O$2:$O$273,'Data Weekly'!$A$2:$A$273,$B$5,'Data Weekly'!$D$2:$D$273,$A21)</f>
        <v>0</v>
      </c>
      <c r="L21" s="3">
        <f>SUMIFS('Data Weekly'!$P$2:$P$273,'Data Weekly'!$A$2:$A$273,$B$5,'Data Weekly'!$D$2:$D$273,$A21)</f>
        <v>0</v>
      </c>
      <c r="M21" s="3">
        <f>SUMIFS('Data Weekly'!$Q$2:$Q$273,'Data Weekly'!$A$2:$A$273,$B$5,'Data Weekly'!$D$2:$D$273,$A21)</f>
        <v>0</v>
      </c>
      <c r="N21" s="3">
        <f>SUMIFS('Data Weekly'!$R$2:$R$273,'Data Weekly'!$A$2:$A$273,$B$5,'Data Weekly'!$D$2:$D$273,$A21)</f>
        <v>1909</v>
      </c>
      <c r="O21" s="4">
        <f>IF(OR(LEFT($A21,1)="W",LEFT($A21,10)="Sales + P1"),SUMIFS('Data Weekly'!$S$2:$S$273,'Data Weekly'!$A$2:$A$273,$B$5,'Data Weekly'!$D$2:$D$273,$A21),"")</f>
        <v>0.17963567387000001</v>
      </c>
      <c r="P21" s="7">
        <f>SUMIFS('Data Weekly'!$T$2:$T$273,'Data Weekly'!$A$2:$A$273,$B$5,'Data Weekly'!$D$2:$D$273,$A21)</f>
        <v>-30</v>
      </c>
      <c r="Q21" s="2" t="str">
        <f>IFERROR(LOOKUP(2,1/(('Data Weekly'!$A$2:$A$273=$B$5)*('Data Weekly'!$D$2:$D$273=$A21)),'Data Weekly'!$U$2:$U$273),"")</f>
        <v>Global Follow Up · frozen weekly history</v>
      </c>
    </row>
    <row r="22" spans="1:17" ht="13.2">
      <c r="A22" s="2" t="s">
        <v>62</v>
      </c>
      <c r="B22" s="3">
        <f>SUMIFS('Data Weekly'!$F$2:$F$273,'Data Weekly'!$A$2:$A$273,$B$5,'Data Weekly'!$D$2:$D$273,$A22)</f>
        <v>310</v>
      </c>
      <c r="C22" s="3">
        <f>SUMIFS('Data Weekly'!$G$2:$G$273,'Data Weekly'!$A$2:$A$273,$B$5,'Data Weekly'!$D$2:$D$273,$A22)</f>
        <v>49</v>
      </c>
      <c r="D22" s="3">
        <f>SUMIFS('Data Weekly'!$H$2:$H$273,'Data Weekly'!$A$2:$A$273,$B$5,'Data Weekly'!$D$2:$D$273,$A22)</f>
        <v>251</v>
      </c>
      <c r="E22" s="3">
        <f>SUMIFS('Data Weekly'!$I$2:$I$273,'Data Weekly'!$A$2:$A$273,$B$5,'Data Weekly'!$D$2:$D$273,$A22)</f>
        <v>328</v>
      </c>
      <c r="F22" s="3">
        <f>SUMIFS('Data Weekly'!$J$2:$J$273,'Data Weekly'!$A$2:$A$273,$B$5,'Data Weekly'!$D$2:$D$273,$A22)</f>
        <v>159</v>
      </c>
      <c r="G22" s="3">
        <f>SUMIFS('Data Weekly'!$K$2:$K$273,'Data Weekly'!$A$2:$A$273,$B$5,'Data Weekly'!$D$2:$D$273,$A22)</f>
        <v>499</v>
      </c>
      <c r="H22" s="3">
        <f>SUMIFS('Data Weekly'!$L$2:$L$273,'Data Weekly'!$A$2:$A$273,$B$5,'Data Weekly'!$D$2:$D$273,$A22)</f>
        <v>0</v>
      </c>
      <c r="I22" s="3">
        <f>SUMIFS('Data Weekly'!$M$2:$M$273,'Data Weekly'!$A$2:$A$273,$B$5,'Data Weekly'!$D$2:$D$273,$A22)</f>
        <v>336</v>
      </c>
      <c r="J22" s="3">
        <f>SUMIFS('Data Weekly'!$N$2:$N$273,'Data Weekly'!$A$2:$A$273,$B$5,'Data Weekly'!$D$2:$D$273,$A22)</f>
        <v>0</v>
      </c>
      <c r="K22" s="3">
        <f>SUMIFS('Data Weekly'!$O$2:$O$273,'Data Weekly'!$A$2:$A$273,$B$5,'Data Weekly'!$D$2:$D$273,$A22)</f>
        <v>0</v>
      </c>
      <c r="L22" s="3">
        <f>SUMIFS('Data Weekly'!$P$2:$P$273,'Data Weekly'!$A$2:$A$273,$B$5,'Data Weekly'!$D$2:$D$273,$A22)</f>
        <v>0</v>
      </c>
      <c r="M22" s="3">
        <f>SUMIFS('Data Weekly'!$Q$2:$Q$273,'Data Weekly'!$A$2:$A$273,$B$5,'Data Weekly'!$D$2:$D$273,$A22)</f>
        <v>32</v>
      </c>
      <c r="N22" s="3">
        <f>SUMIFS('Data Weekly'!$R$2:$R$273,'Data Weekly'!$A$2:$A$273,$B$5,'Data Weekly'!$D$2:$D$273,$A22)</f>
        <v>1964</v>
      </c>
      <c r="O22" s="4">
        <f>IF(OR(LEFT($A22,1)="W",LEFT($A22,10)="Sales + P1"),SUMIFS('Data Weekly'!$S$2:$S$273,'Data Weekly'!$A$2:$A$273,$B$5,'Data Weekly'!$D$2:$D$273,$A22),"")</f>
        <v>0.184811138544</v>
      </c>
      <c r="P22" s="6">
        <f>SUMIFS('Data Weekly'!$T$2:$T$273,'Data Weekly'!$A$2:$A$273,$B$5,'Data Weekly'!$D$2:$D$273,$A22)</f>
        <v>55</v>
      </c>
      <c r="Q22" s="2" t="str">
        <f>IFERROR(LOOKUP(2,1/(('Data Weekly'!$A$2:$A$273=$B$5)*('Data Weekly'!$D$2:$D$273=$A22)),'Data Weekly'!$U$2:$U$273),"")</f>
        <v>Global Follow Up · frozen weekly history</v>
      </c>
    </row>
    <row r="23" spans="1:17" ht="13.2">
      <c r="A23" s="2" t="s">
        <v>63</v>
      </c>
      <c r="B23" s="3">
        <f>SUMIFS('Data Weekly'!$F$2:$F$273,'Data Weekly'!$A$2:$A$273,$B$5,'Data Weekly'!$D$2:$D$273,$A23)</f>
        <v>310</v>
      </c>
      <c r="C23" s="3">
        <f>SUMIFS('Data Weekly'!$G$2:$G$273,'Data Weekly'!$A$2:$A$273,$B$5,'Data Weekly'!$D$2:$D$273,$A23)</f>
        <v>49</v>
      </c>
      <c r="D23" s="3">
        <f>SUMIFS('Data Weekly'!$H$2:$H$273,'Data Weekly'!$A$2:$A$273,$B$5,'Data Weekly'!$D$2:$D$273,$A23)</f>
        <v>251</v>
      </c>
      <c r="E23" s="3">
        <f>SUMIFS('Data Weekly'!$I$2:$I$273,'Data Weekly'!$A$2:$A$273,$B$5,'Data Weekly'!$D$2:$D$273,$A23)</f>
        <v>328</v>
      </c>
      <c r="F23" s="3">
        <f>SUMIFS('Data Weekly'!$J$2:$J$273,'Data Weekly'!$A$2:$A$273,$B$5,'Data Weekly'!$D$2:$D$273,$A23)</f>
        <v>161</v>
      </c>
      <c r="G23" s="3">
        <f>SUMIFS('Data Weekly'!$K$2:$K$273,'Data Weekly'!$A$2:$A$273,$B$5,'Data Weekly'!$D$2:$D$273,$A23)</f>
        <v>556</v>
      </c>
      <c r="H23" s="3">
        <f>SUMIFS('Data Weekly'!$L$2:$L$273,'Data Weekly'!$A$2:$A$273,$B$5,'Data Weekly'!$D$2:$D$273,$A23)</f>
        <v>0</v>
      </c>
      <c r="I23" s="3">
        <f>SUMIFS('Data Weekly'!$M$2:$M$273,'Data Weekly'!$A$2:$A$273,$B$5,'Data Weekly'!$D$2:$D$273,$A23)</f>
        <v>336</v>
      </c>
      <c r="J23" s="3">
        <f>SUMIFS('Data Weekly'!$N$2:$N$273,'Data Weekly'!$A$2:$A$273,$B$5,'Data Weekly'!$D$2:$D$273,$A23)</f>
        <v>0</v>
      </c>
      <c r="K23" s="3">
        <f>SUMIFS('Data Weekly'!$O$2:$O$273,'Data Weekly'!$A$2:$A$273,$B$5,'Data Weekly'!$D$2:$D$273,$A23)</f>
        <v>0</v>
      </c>
      <c r="L23" s="3">
        <f>SUMIFS('Data Weekly'!$P$2:$P$273,'Data Weekly'!$A$2:$A$273,$B$5,'Data Weekly'!$D$2:$D$273,$A23)</f>
        <v>0</v>
      </c>
      <c r="M23" s="3">
        <f>SUMIFS('Data Weekly'!$Q$2:$Q$273,'Data Weekly'!$A$2:$A$273,$B$5,'Data Weekly'!$D$2:$D$273,$A23)</f>
        <v>32</v>
      </c>
      <c r="N23" s="3">
        <f>SUMIFS('Data Weekly'!$R$2:$R$273,'Data Weekly'!$A$2:$A$273,$B$5,'Data Weekly'!$D$2:$D$273,$A23)</f>
        <v>2023</v>
      </c>
      <c r="O23" s="4">
        <f>IF(OR(LEFT($A23,1)="W",LEFT($A23,10)="Sales + P1"),SUMIFS('Data Weekly'!$S$2:$S$273,'Data Weekly'!$A$2:$A$273,$B$5,'Data Weekly'!$D$2:$D$273,$A23),"")</f>
        <v>0.190363000649</v>
      </c>
      <c r="P23" s="6">
        <f>SUMIFS('Data Weekly'!$T$2:$T$273,'Data Weekly'!$A$2:$A$273,$B$5,'Data Weekly'!$D$2:$D$273,$A23)</f>
        <v>59</v>
      </c>
      <c r="Q23" s="2" t="str">
        <f>IFERROR(LOOKUP(2,1/(('Data Weekly'!$A$2:$A$273=$B$5)*('Data Weekly'!$D$2:$D$273=$A23)),'Data Weekly'!$U$2:$U$273),"")</f>
        <v>Global Follow Up · frozen weekly history</v>
      </c>
    </row>
    <row r="24" spans="1:17" ht="13.2">
      <c r="A24" s="2" t="s">
        <v>64</v>
      </c>
      <c r="B24" s="3">
        <f>SUMIFS('Data Weekly'!$F$2:$F$273,'Data Weekly'!$A$2:$A$273,$B$5,'Data Weekly'!$D$2:$D$273,$A24)</f>
        <v>310</v>
      </c>
      <c r="C24" s="3">
        <f>SUMIFS('Data Weekly'!$G$2:$G$273,'Data Weekly'!$A$2:$A$273,$B$5,'Data Weekly'!$D$2:$D$273,$A24)</f>
        <v>49</v>
      </c>
      <c r="D24" s="3">
        <f>SUMIFS('Data Weekly'!$H$2:$H$273,'Data Weekly'!$A$2:$A$273,$B$5,'Data Weekly'!$D$2:$D$273,$A24)</f>
        <v>251</v>
      </c>
      <c r="E24" s="3">
        <f>SUMIFS('Data Weekly'!$I$2:$I$273,'Data Weekly'!$A$2:$A$273,$B$5,'Data Weekly'!$D$2:$D$273,$A24)</f>
        <v>327</v>
      </c>
      <c r="F24" s="3">
        <f>SUMIFS('Data Weekly'!$J$2:$J$273,'Data Weekly'!$A$2:$A$273,$B$5,'Data Weekly'!$D$2:$D$273,$A24)</f>
        <v>186</v>
      </c>
      <c r="G24" s="3">
        <f>SUMIFS('Data Weekly'!$K$2:$K$273,'Data Weekly'!$A$2:$A$273,$B$5,'Data Weekly'!$D$2:$D$273,$A24)</f>
        <v>556</v>
      </c>
      <c r="H24" s="3">
        <f>SUMIFS('Data Weekly'!$L$2:$L$273,'Data Weekly'!$A$2:$A$273,$B$5,'Data Weekly'!$D$2:$D$273,$A24)</f>
        <v>0</v>
      </c>
      <c r="I24" s="3">
        <f>SUMIFS('Data Weekly'!$M$2:$M$273,'Data Weekly'!$A$2:$A$273,$B$5,'Data Weekly'!$D$2:$D$273,$A24)</f>
        <v>333</v>
      </c>
      <c r="J24" s="3">
        <f>SUMIFS('Data Weekly'!$N$2:$N$273,'Data Weekly'!$A$2:$A$273,$B$5,'Data Weekly'!$D$2:$D$273,$A24)</f>
        <v>0</v>
      </c>
      <c r="K24" s="3">
        <f>SUMIFS('Data Weekly'!$O$2:$O$273,'Data Weekly'!$A$2:$A$273,$B$5,'Data Weekly'!$D$2:$D$273,$A24)</f>
        <v>0</v>
      </c>
      <c r="L24" s="3">
        <f>SUMIFS('Data Weekly'!$P$2:$P$273,'Data Weekly'!$A$2:$A$273,$B$5,'Data Weekly'!$D$2:$D$273,$A24)</f>
        <v>0</v>
      </c>
      <c r="M24" s="3">
        <f>SUMIFS('Data Weekly'!$Q$2:$Q$273,'Data Weekly'!$A$2:$A$273,$B$5,'Data Weekly'!$D$2:$D$273,$A24)</f>
        <v>32</v>
      </c>
      <c r="N24" s="3">
        <f>SUMIFS('Data Weekly'!$R$2:$R$273,'Data Weekly'!$A$2:$A$273,$B$5,'Data Weekly'!$D$2:$D$273,$A24)</f>
        <v>2044</v>
      </c>
      <c r="O24" s="4">
        <f>IF(OR(LEFT($A24,1)="W",LEFT($A24,10)="Sales + P1"),SUMIFS('Data Weekly'!$S$2:$S$273,'Data Weekly'!$A$2:$A$273,$B$5,'Data Weekly'!$D$2:$D$273,$A24),"")</f>
        <v>0.19233908716100001</v>
      </c>
      <c r="P24" s="6">
        <f>SUMIFS('Data Weekly'!$T$2:$T$273,'Data Weekly'!$A$2:$A$273,$B$5,'Data Weekly'!$D$2:$D$273,$A24)</f>
        <v>21</v>
      </c>
      <c r="Q24" s="2" t="str">
        <f>IFERROR(LOOKUP(2,1/(('Data Weekly'!$A$2:$A$273=$B$5)*('Data Weekly'!$D$2:$D$273=$A24)),'Data Weekly'!$U$2:$U$273),"")</f>
        <v>Global Follow Up · frozen weekly history</v>
      </c>
    </row>
    <row r="25" spans="1:17" ht="13.2">
      <c r="A25" s="2" t="s">
        <v>65</v>
      </c>
      <c r="B25" s="3">
        <f>SUMIFS('Data Weekly'!$F$2:$F$273,'Data Weekly'!$A$2:$A$273,$B$5,'Data Weekly'!$D$2:$D$273,$A25)</f>
        <v>310</v>
      </c>
      <c r="C25" s="3">
        <f>SUMIFS('Data Weekly'!$G$2:$G$273,'Data Weekly'!$A$2:$A$273,$B$5,'Data Weekly'!$D$2:$D$273,$A25)</f>
        <v>49</v>
      </c>
      <c r="D25" s="3">
        <f>SUMIFS('Data Weekly'!$H$2:$H$273,'Data Weekly'!$A$2:$A$273,$B$5,'Data Weekly'!$D$2:$D$273,$A25)</f>
        <v>251</v>
      </c>
      <c r="E25" s="3">
        <f>SUMIFS('Data Weekly'!$I$2:$I$273,'Data Weekly'!$A$2:$A$273,$B$5,'Data Weekly'!$D$2:$D$273,$A25)</f>
        <v>328</v>
      </c>
      <c r="F25" s="3">
        <f>SUMIFS('Data Weekly'!$J$2:$J$273,'Data Weekly'!$A$2:$A$273,$B$5,'Data Weekly'!$D$2:$D$273,$A25)</f>
        <v>220</v>
      </c>
      <c r="G25" s="3">
        <f>SUMIFS('Data Weekly'!$K$2:$K$273,'Data Weekly'!$A$2:$A$273,$B$5,'Data Weekly'!$D$2:$D$273,$A25)</f>
        <v>590</v>
      </c>
      <c r="H25" s="3">
        <f>SUMIFS('Data Weekly'!$L$2:$L$273,'Data Weekly'!$A$2:$A$273,$B$5,'Data Weekly'!$D$2:$D$273,$A25)</f>
        <v>2</v>
      </c>
      <c r="I25" s="3">
        <f>SUMIFS('Data Weekly'!$M$2:$M$273,'Data Weekly'!$A$2:$A$273,$B$5,'Data Weekly'!$D$2:$D$273,$A25)</f>
        <v>333</v>
      </c>
      <c r="J25" s="3">
        <f>SUMIFS('Data Weekly'!$N$2:$N$273,'Data Weekly'!$A$2:$A$273,$B$5,'Data Weekly'!$D$2:$D$273,$A25)</f>
        <v>0</v>
      </c>
      <c r="K25" s="3">
        <f>SUMIFS('Data Weekly'!$O$2:$O$273,'Data Weekly'!$A$2:$A$273,$B$5,'Data Weekly'!$D$2:$D$273,$A25)</f>
        <v>0</v>
      </c>
      <c r="L25" s="3">
        <f>SUMIFS('Data Weekly'!$P$2:$P$273,'Data Weekly'!$A$2:$A$273,$B$5,'Data Weekly'!$D$2:$D$273,$A25)</f>
        <v>0</v>
      </c>
      <c r="M25" s="3">
        <f>SUMIFS('Data Weekly'!$Q$2:$Q$273,'Data Weekly'!$A$2:$A$273,$B$5,'Data Weekly'!$D$2:$D$273,$A25)</f>
        <v>32</v>
      </c>
      <c r="N25" s="3">
        <f>SUMIFS('Data Weekly'!$R$2:$R$273,'Data Weekly'!$A$2:$A$273,$B$5,'Data Weekly'!$D$2:$D$273,$A25)</f>
        <v>2115</v>
      </c>
      <c r="O25" s="4">
        <f>IF(OR(LEFT($A25,1)="W",LEFT($A25,10)="Sales + P1"),SUMIFS('Data Weekly'!$S$2:$S$273,'Data Weekly'!$A$2:$A$273,$B$5,'Data Weekly'!$D$2:$D$273,$A25),"")</f>
        <v>0.199020141559</v>
      </c>
      <c r="P25" s="6">
        <f>SUMIFS('Data Weekly'!$T$2:$T$273,'Data Weekly'!$A$2:$A$273,$B$5,'Data Weekly'!$D$2:$D$273,$A25)</f>
        <v>71</v>
      </c>
      <c r="Q25" s="2" t="str">
        <f>IFERROR(LOOKUP(2,1/(('Data Weekly'!$A$2:$A$273=$B$5)*('Data Weekly'!$D$2:$D$273=$A25)),'Data Weekly'!$U$2:$U$273),"")</f>
        <v>Global Follow Up · frozen weekly history</v>
      </c>
    </row>
    <row r="26" spans="1:17" ht="13.2">
      <c r="A26" s="2" t="s">
        <v>66</v>
      </c>
      <c r="B26" s="3">
        <f>SUMIFS('Data Weekly'!$F$2:$F$273,'Data Weekly'!$A$2:$A$273,$B$5,'Data Weekly'!$D$2:$D$273,$A26)</f>
        <v>310</v>
      </c>
      <c r="C26" s="3">
        <f>SUMIFS('Data Weekly'!$G$2:$G$273,'Data Weekly'!$A$2:$A$273,$B$5,'Data Weekly'!$D$2:$D$273,$A26)</f>
        <v>49</v>
      </c>
      <c r="D26" s="3">
        <f>SUMIFS('Data Weekly'!$H$2:$H$273,'Data Weekly'!$A$2:$A$273,$B$5,'Data Weekly'!$D$2:$D$273,$A26)</f>
        <v>251</v>
      </c>
      <c r="E26" s="3">
        <f>SUMIFS('Data Weekly'!$I$2:$I$273,'Data Weekly'!$A$2:$A$273,$B$5,'Data Weekly'!$D$2:$D$273,$A26)</f>
        <v>328</v>
      </c>
      <c r="F26" s="3">
        <f>SUMIFS('Data Weekly'!$J$2:$J$273,'Data Weekly'!$A$2:$A$273,$B$5,'Data Weekly'!$D$2:$D$273,$A26)</f>
        <v>217</v>
      </c>
      <c r="G26" s="3">
        <f>SUMIFS('Data Weekly'!$K$2:$K$273,'Data Weekly'!$A$2:$A$273,$B$5,'Data Weekly'!$D$2:$D$273,$A26)</f>
        <v>615</v>
      </c>
      <c r="H26" s="3">
        <f>SUMIFS('Data Weekly'!$L$2:$L$273,'Data Weekly'!$A$2:$A$273,$B$5,'Data Weekly'!$D$2:$D$273,$A26)</f>
        <v>29</v>
      </c>
      <c r="I26" s="3">
        <f>SUMIFS('Data Weekly'!$M$2:$M$273,'Data Weekly'!$A$2:$A$273,$B$5,'Data Weekly'!$D$2:$D$273,$A26)</f>
        <v>333</v>
      </c>
      <c r="J26" s="3">
        <f>SUMIFS('Data Weekly'!$N$2:$N$273,'Data Weekly'!$A$2:$A$273,$B$5,'Data Weekly'!$D$2:$D$273,$A26)</f>
        <v>0</v>
      </c>
      <c r="K26" s="3">
        <f>SUMIFS('Data Weekly'!$O$2:$O$273,'Data Weekly'!$A$2:$A$273,$B$5,'Data Weekly'!$D$2:$D$273,$A26)</f>
        <v>0</v>
      </c>
      <c r="L26" s="3">
        <f>SUMIFS('Data Weekly'!$P$2:$P$273,'Data Weekly'!$A$2:$A$273,$B$5,'Data Weekly'!$D$2:$D$273,$A26)</f>
        <v>0</v>
      </c>
      <c r="M26" s="3">
        <f>SUMIFS('Data Weekly'!$Q$2:$Q$273,'Data Weekly'!$A$2:$A$273,$B$5,'Data Weekly'!$D$2:$D$273,$A26)</f>
        <v>32</v>
      </c>
      <c r="N26" s="3">
        <f>SUMIFS('Data Weekly'!$R$2:$R$273,'Data Weekly'!$A$2:$A$273,$B$5,'Data Weekly'!$D$2:$D$273,$A26)</f>
        <v>2164</v>
      </c>
      <c r="O26" s="4">
        <f>IF(OR(LEFT($A26,1)="W",LEFT($A26,10)="Sales + P1"),SUMIFS('Data Weekly'!$S$2:$S$273,'Data Weekly'!$A$2:$A$273,$B$5,'Data Weekly'!$D$2:$D$273,$A26),"")</f>
        <v>0.20363101008699999</v>
      </c>
      <c r="P26" s="6">
        <f>SUMIFS('Data Weekly'!$T$2:$T$273,'Data Weekly'!$A$2:$A$273,$B$5,'Data Weekly'!$D$2:$D$273,$A26)</f>
        <v>49</v>
      </c>
      <c r="Q26" s="2" t="str">
        <f>IFERROR(LOOKUP(2,1/(('Data Weekly'!$A$2:$A$273=$B$5)*('Data Weekly'!$D$2:$D$273=$A26)),'Data Weekly'!$U$2:$U$273),"")</f>
        <v>Global Follow Up · frozen weekly history</v>
      </c>
    </row>
    <row r="27" spans="1:17" ht="13.2">
      <c r="A27" s="2" t="s">
        <v>67</v>
      </c>
      <c r="B27" s="3">
        <f>SUMIFS('Data Weekly'!$F$2:$F$273,'Data Weekly'!$A$2:$A$273,$B$5,'Data Weekly'!$D$2:$D$273,$A27)</f>
        <v>310</v>
      </c>
      <c r="C27" s="3">
        <f>SUMIFS('Data Weekly'!$G$2:$G$273,'Data Weekly'!$A$2:$A$273,$B$5,'Data Weekly'!$D$2:$D$273,$A27)</f>
        <v>49</v>
      </c>
      <c r="D27" s="3">
        <f>SUMIFS('Data Weekly'!$H$2:$H$273,'Data Weekly'!$A$2:$A$273,$B$5,'Data Weekly'!$D$2:$D$273,$A27)</f>
        <v>251</v>
      </c>
      <c r="E27" s="3">
        <f>SUMIFS('Data Weekly'!$I$2:$I$273,'Data Weekly'!$A$2:$A$273,$B$5,'Data Weekly'!$D$2:$D$273,$A27)</f>
        <v>328</v>
      </c>
      <c r="F27" s="3">
        <f>SUMIFS('Data Weekly'!$J$2:$J$273,'Data Weekly'!$A$2:$A$273,$B$5,'Data Weekly'!$D$2:$D$273,$A27)</f>
        <v>241</v>
      </c>
      <c r="G27" s="3">
        <f>SUMIFS('Data Weekly'!$K$2:$K$273,'Data Weekly'!$A$2:$A$273,$B$5,'Data Weekly'!$D$2:$D$273,$A27)</f>
        <v>608</v>
      </c>
      <c r="H27" s="3">
        <f>SUMIFS('Data Weekly'!$L$2:$L$273,'Data Weekly'!$A$2:$A$273,$B$5,'Data Weekly'!$D$2:$D$273,$A27)</f>
        <v>28</v>
      </c>
      <c r="I27" s="3">
        <f>SUMIFS('Data Weekly'!$M$2:$M$273,'Data Weekly'!$A$2:$A$273,$B$5,'Data Weekly'!$D$2:$D$273,$A27)</f>
        <v>342</v>
      </c>
      <c r="J27" s="3">
        <f>SUMIFS('Data Weekly'!$N$2:$N$273,'Data Weekly'!$A$2:$A$273,$B$5,'Data Weekly'!$D$2:$D$273,$A27)</f>
        <v>0</v>
      </c>
      <c r="K27" s="3">
        <f>SUMIFS('Data Weekly'!$O$2:$O$273,'Data Weekly'!$A$2:$A$273,$B$5,'Data Weekly'!$D$2:$D$273,$A27)</f>
        <v>0</v>
      </c>
      <c r="L27" s="3">
        <f>SUMIFS('Data Weekly'!$P$2:$P$273,'Data Weekly'!$A$2:$A$273,$B$5,'Data Weekly'!$D$2:$D$273,$A27)</f>
        <v>0</v>
      </c>
      <c r="M27" s="3">
        <f>SUMIFS('Data Weekly'!$Q$2:$Q$273,'Data Weekly'!$A$2:$A$273,$B$5,'Data Weekly'!$D$2:$D$273,$A27)</f>
        <v>32</v>
      </c>
      <c r="N27" s="3">
        <f>SUMIFS('Data Weekly'!$R$2:$R$273,'Data Weekly'!$A$2:$A$273,$B$5,'Data Weekly'!$D$2:$D$273,$A27)</f>
        <v>2189</v>
      </c>
      <c r="O27" s="4">
        <f>IF(OR(LEFT($A27,1)="W",LEFT($A27,10)="Sales + P1"),SUMIFS('Data Weekly'!$S$2:$S$273,'Data Weekly'!$A$2:$A$273,$B$5,'Data Weekly'!$D$2:$D$273,$A27),"")</f>
        <v>0.20598349402900001</v>
      </c>
      <c r="P27" s="6">
        <f>SUMIFS('Data Weekly'!$T$2:$T$273,'Data Weekly'!$A$2:$A$273,$B$5,'Data Weekly'!$D$2:$D$273,$A27)</f>
        <v>25</v>
      </c>
      <c r="Q27" s="2" t="str">
        <f>IFERROR(LOOKUP(2,1/(('Data Weekly'!$A$2:$A$273=$B$5)*('Data Weekly'!$D$2:$D$273=$A27)),'Data Weekly'!$U$2:$U$273),"")</f>
        <v>Global Follow Up · frozen weekly history</v>
      </c>
    </row>
    <row r="28" spans="1:17" ht="13.2">
      <c r="A28" s="2" t="s">
        <v>68</v>
      </c>
      <c r="B28" s="3">
        <f>SUMIFS('Data Weekly'!$F$2:$F$273,'Data Weekly'!$A$2:$A$273,$B$5,'Data Weekly'!$D$2:$D$273,$A28)</f>
        <v>310</v>
      </c>
      <c r="C28" s="3">
        <f>SUMIFS('Data Weekly'!$G$2:$G$273,'Data Weekly'!$A$2:$A$273,$B$5,'Data Weekly'!$D$2:$D$273,$A28)</f>
        <v>49</v>
      </c>
      <c r="D28" s="3">
        <f>SUMIFS('Data Weekly'!$H$2:$H$273,'Data Weekly'!$A$2:$A$273,$B$5,'Data Weekly'!$D$2:$D$273,$A28)</f>
        <v>251</v>
      </c>
      <c r="E28" s="3">
        <f>SUMIFS('Data Weekly'!$I$2:$I$273,'Data Weekly'!$A$2:$A$273,$B$5,'Data Weekly'!$D$2:$D$273,$A28)</f>
        <v>328</v>
      </c>
      <c r="F28" s="3">
        <f>SUMIFS('Data Weekly'!$J$2:$J$273,'Data Weekly'!$A$2:$A$273,$B$5,'Data Weekly'!$D$2:$D$273,$A28)</f>
        <v>242</v>
      </c>
      <c r="G28" s="3">
        <f>SUMIFS('Data Weekly'!$K$2:$K$273,'Data Weekly'!$A$2:$A$273,$B$5,'Data Weekly'!$D$2:$D$273,$A28)</f>
        <v>614</v>
      </c>
      <c r="H28" s="3">
        <f>SUMIFS('Data Weekly'!$L$2:$L$273,'Data Weekly'!$A$2:$A$273,$B$5,'Data Weekly'!$D$2:$D$273,$A28)</f>
        <v>27</v>
      </c>
      <c r="I28" s="3">
        <f>SUMIFS('Data Weekly'!$M$2:$M$273,'Data Weekly'!$A$2:$A$273,$B$5,'Data Weekly'!$D$2:$D$273,$A28)</f>
        <v>348</v>
      </c>
      <c r="J28" s="3">
        <f>SUMIFS('Data Weekly'!$N$2:$N$273,'Data Weekly'!$A$2:$A$273,$B$5,'Data Weekly'!$D$2:$D$273,$A28)</f>
        <v>67</v>
      </c>
      <c r="K28" s="3">
        <f>SUMIFS('Data Weekly'!$O$2:$O$273,'Data Weekly'!$A$2:$A$273,$B$5,'Data Weekly'!$D$2:$D$273,$A28)</f>
        <v>0</v>
      </c>
      <c r="L28" s="3">
        <f>SUMIFS('Data Weekly'!$P$2:$P$273,'Data Weekly'!$A$2:$A$273,$B$5,'Data Weekly'!$D$2:$D$273,$A28)</f>
        <v>0</v>
      </c>
      <c r="M28" s="3">
        <f>SUMIFS('Data Weekly'!$Q$2:$Q$273,'Data Weekly'!$A$2:$A$273,$B$5,'Data Weekly'!$D$2:$D$273,$A28)</f>
        <v>32</v>
      </c>
      <c r="N28" s="3">
        <f>SUMIFS('Data Weekly'!$R$2:$R$273,'Data Weekly'!$A$2:$A$273,$B$5,'Data Weekly'!$D$2:$D$273,$A28)</f>
        <v>2268</v>
      </c>
      <c r="O28" s="4">
        <f>IF(OR(LEFT($A28,1)="W",LEFT($A28,10)="Sales + P1"),SUMIFS('Data Weekly'!$S$2:$S$273,'Data Weekly'!$A$2:$A$273,$B$5,'Data Weekly'!$D$2:$D$273,$A28),"")</f>
        <v>0.21341734328799999</v>
      </c>
      <c r="P28" s="6">
        <f>SUMIFS('Data Weekly'!$T$2:$T$273,'Data Weekly'!$A$2:$A$273,$B$5,'Data Weekly'!$D$2:$D$273,$A28)</f>
        <v>79</v>
      </c>
      <c r="Q28" s="2" t="str">
        <f>IFERROR(LOOKUP(2,1/(('Data Weekly'!$A$2:$A$273=$B$5)*('Data Weekly'!$D$2:$D$273=$A28)),'Data Weekly'!$U$2:$U$273),"")</f>
        <v>Global Follow Up · frozen weekly history</v>
      </c>
    </row>
    <row r="29" spans="1:17" ht="13.2">
      <c r="A29" s="2" t="s">
        <v>69</v>
      </c>
      <c r="B29" s="3">
        <f>SUMIFS('Data Weekly'!$F$2:$F$273,'Data Weekly'!$A$2:$A$273,$B$5,'Data Weekly'!$D$2:$D$273,$A29)</f>
        <v>310</v>
      </c>
      <c r="C29" s="3">
        <f>SUMIFS('Data Weekly'!$G$2:$G$273,'Data Weekly'!$A$2:$A$273,$B$5,'Data Weekly'!$D$2:$D$273,$A29)</f>
        <v>49</v>
      </c>
      <c r="D29" s="3">
        <f>SUMIFS('Data Weekly'!$H$2:$H$273,'Data Weekly'!$A$2:$A$273,$B$5,'Data Weekly'!$D$2:$D$273,$A29)</f>
        <v>251</v>
      </c>
      <c r="E29" s="3">
        <f>SUMIFS('Data Weekly'!$I$2:$I$273,'Data Weekly'!$A$2:$A$273,$B$5,'Data Weekly'!$D$2:$D$273,$A29)</f>
        <v>328</v>
      </c>
      <c r="F29" s="3">
        <f>SUMIFS('Data Weekly'!$J$2:$J$273,'Data Weekly'!$A$2:$A$273,$B$5,'Data Weekly'!$D$2:$D$273,$A29)</f>
        <v>242</v>
      </c>
      <c r="G29" s="3">
        <f>SUMIFS('Data Weekly'!$K$2:$K$273,'Data Weekly'!$A$2:$A$273,$B$5,'Data Weekly'!$D$2:$D$273,$A29)</f>
        <v>636</v>
      </c>
      <c r="H29" s="3">
        <f>SUMIFS('Data Weekly'!$L$2:$L$273,'Data Weekly'!$A$2:$A$273,$B$5,'Data Weekly'!$D$2:$D$273,$A29)</f>
        <v>37</v>
      </c>
      <c r="I29" s="3">
        <f>SUMIFS('Data Weekly'!$M$2:$M$273,'Data Weekly'!$A$2:$A$273,$B$5,'Data Weekly'!$D$2:$D$273,$A29)</f>
        <v>407</v>
      </c>
      <c r="J29" s="3">
        <f>SUMIFS('Data Weekly'!$N$2:$N$273,'Data Weekly'!$A$2:$A$273,$B$5,'Data Weekly'!$D$2:$D$273,$A29)</f>
        <v>67</v>
      </c>
      <c r="K29" s="3">
        <f>SUMIFS('Data Weekly'!$O$2:$O$273,'Data Weekly'!$A$2:$A$273,$B$5,'Data Weekly'!$D$2:$D$273,$A29)</f>
        <v>0</v>
      </c>
      <c r="L29" s="3">
        <f>SUMIFS('Data Weekly'!$P$2:$P$273,'Data Weekly'!$A$2:$A$273,$B$5,'Data Weekly'!$D$2:$D$273,$A29)</f>
        <v>0</v>
      </c>
      <c r="M29" s="3">
        <f>SUMIFS('Data Weekly'!$Q$2:$Q$273,'Data Weekly'!$A$2:$A$273,$B$5,'Data Weekly'!$D$2:$D$273,$A29)</f>
        <v>32</v>
      </c>
      <c r="N29" s="3">
        <f>SUMIFS('Data Weekly'!$R$2:$R$273,'Data Weekly'!$A$2:$A$273,$B$5,'Data Weekly'!$D$2:$D$273,$A29)</f>
        <v>2359</v>
      </c>
      <c r="O29" s="4">
        <f>IF(OR(LEFT($A29,1)="W",LEFT($A29,10)="Sales + P1"),SUMIFS('Data Weekly'!$S$2:$S$273,'Data Weekly'!$A$2:$A$273,$B$5,'Data Weekly'!$D$2:$D$273,$A29),"")</f>
        <v>0.22198038483999999</v>
      </c>
      <c r="P29" s="6">
        <f>SUMIFS('Data Weekly'!$T$2:$T$273,'Data Weekly'!$A$2:$A$273,$B$5,'Data Weekly'!$D$2:$D$273,$A29)</f>
        <v>91</v>
      </c>
      <c r="Q29" s="2" t="str">
        <f>IFERROR(LOOKUP(2,1/(('Data Weekly'!$A$2:$A$273=$B$5)*('Data Weekly'!$D$2:$D$273=$A29)),'Data Weekly'!$U$2:$U$273),"")</f>
        <v>Global Follow Up · frozen weekly history</v>
      </c>
    </row>
    <row r="30" spans="1:17" ht="13.2">
      <c r="A30" s="2" t="s">
        <v>70</v>
      </c>
      <c r="B30" s="3">
        <f>SUMIFS('Data Weekly'!$F$2:$F$273,'Data Weekly'!$A$2:$A$273,$B$5,'Data Weekly'!$D$2:$D$273,$A30)</f>
        <v>310</v>
      </c>
      <c r="C30" s="3">
        <f>SUMIFS('Data Weekly'!$G$2:$G$273,'Data Weekly'!$A$2:$A$273,$B$5,'Data Weekly'!$D$2:$D$273,$A30)</f>
        <v>49</v>
      </c>
      <c r="D30" s="3">
        <f>SUMIFS('Data Weekly'!$H$2:$H$273,'Data Weekly'!$A$2:$A$273,$B$5,'Data Weekly'!$D$2:$D$273,$A30)</f>
        <v>251</v>
      </c>
      <c r="E30" s="3">
        <f>SUMIFS('Data Weekly'!$I$2:$I$273,'Data Weekly'!$A$2:$A$273,$B$5,'Data Weekly'!$D$2:$D$273,$A30)</f>
        <v>328</v>
      </c>
      <c r="F30" s="3">
        <f>SUMIFS('Data Weekly'!$J$2:$J$273,'Data Weekly'!$A$2:$A$273,$B$5,'Data Weekly'!$D$2:$D$273,$A30)</f>
        <v>242</v>
      </c>
      <c r="G30" s="3">
        <f>SUMIFS('Data Weekly'!$K$2:$K$273,'Data Weekly'!$A$2:$A$273,$B$5,'Data Weekly'!$D$2:$D$273,$A30)</f>
        <v>636</v>
      </c>
      <c r="H30" s="3">
        <f>SUMIFS('Data Weekly'!$L$2:$L$273,'Data Weekly'!$A$2:$A$273,$B$5,'Data Weekly'!$D$2:$D$273,$A30)</f>
        <v>67</v>
      </c>
      <c r="I30" s="3">
        <f>SUMIFS('Data Weekly'!$M$2:$M$273,'Data Weekly'!$A$2:$A$273,$B$5,'Data Weekly'!$D$2:$D$273,$A30)</f>
        <v>407</v>
      </c>
      <c r="J30" s="3">
        <f>SUMIFS('Data Weekly'!$N$2:$N$273,'Data Weekly'!$A$2:$A$273,$B$5,'Data Weekly'!$D$2:$D$273,$A30)</f>
        <v>67</v>
      </c>
      <c r="K30" s="3">
        <f>SUMIFS('Data Weekly'!$O$2:$O$273,'Data Weekly'!$A$2:$A$273,$B$5,'Data Weekly'!$D$2:$D$273,$A30)</f>
        <v>0</v>
      </c>
      <c r="L30" s="3">
        <f>SUMIFS('Data Weekly'!$P$2:$P$273,'Data Weekly'!$A$2:$A$273,$B$5,'Data Weekly'!$D$2:$D$273,$A30)</f>
        <v>0</v>
      </c>
      <c r="M30" s="3">
        <f>SUMIFS('Data Weekly'!$Q$2:$Q$273,'Data Weekly'!$A$2:$A$273,$B$5,'Data Weekly'!$D$2:$D$273,$A30)</f>
        <v>32</v>
      </c>
      <c r="N30" s="3">
        <f>SUMIFS('Data Weekly'!$R$2:$R$273,'Data Weekly'!$A$2:$A$273,$B$5,'Data Weekly'!$D$2:$D$273,$A30)</f>
        <v>2389</v>
      </c>
      <c r="O30" s="4">
        <f>IF(OR(LEFT($A30,1)="W",LEFT($A30,10)="Sales + P1"),SUMIFS('Data Weekly'!$S$2:$S$273,'Data Weekly'!$A$2:$A$273,$B$5,'Data Weekly'!$D$2:$D$273,$A30),"")</f>
        <v>0.22480336557200001</v>
      </c>
      <c r="P30" s="6">
        <f>SUMIFS('Data Weekly'!$T$2:$T$273,'Data Weekly'!$A$2:$A$273,$B$5,'Data Weekly'!$D$2:$D$273,$A30)</f>
        <v>30</v>
      </c>
      <c r="Q30" s="2" t="str">
        <f>IFERROR(LOOKUP(2,1/(('Data Weekly'!$A$2:$A$273=$B$5)*('Data Weekly'!$D$2:$D$273=$A30)),'Data Weekly'!$U$2:$U$273),"")</f>
        <v>Global Follow Up · frozen weekly history</v>
      </c>
    </row>
    <row r="31" spans="1:17" ht="13.2">
      <c r="A31" s="2" t="s">
        <v>71</v>
      </c>
      <c r="B31" s="3">
        <f>SUMIFS('Data Weekly'!$F$2:$F$273,'Data Weekly'!$A$2:$A$273,$B$5,'Data Weekly'!$D$2:$D$273,$A31)</f>
        <v>310</v>
      </c>
      <c r="C31" s="3">
        <f>SUMIFS('Data Weekly'!$G$2:$G$273,'Data Weekly'!$A$2:$A$273,$B$5,'Data Weekly'!$D$2:$D$273,$A31)</f>
        <v>49</v>
      </c>
      <c r="D31" s="3">
        <f>SUMIFS('Data Weekly'!$H$2:$H$273,'Data Weekly'!$A$2:$A$273,$B$5,'Data Weekly'!$D$2:$D$273,$A31)</f>
        <v>251</v>
      </c>
      <c r="E31" s="3">
        <f>SUMIFS('Data Weekly'!$I$2:$I$273,'Data Weekly'!$A$2:$A$273,$B$5,'Data Weekly'!$D$2:$D$273,$A31)</f>
        <v>328</v>
      </c>
      <c r="F31" s="3">
        <f>SUMIFS('Data Weekly'!$J$2:$J$273,'Data Weekly'!$A$2:$A$273,$B$5,'Data Weekly'!$D$2:$D$273,$A31)</f>
        <v>242</v>
      </c>
      <c r="G31" s="3">
        <f>SUMIFS('Data Weekly'!$K$2:$K$273,'Data Weekly'!$A$2:$A$273,$B$5,'Data Weekly'!$D$2:$D$273,$A31)</f>
        <v>660</v>
      </c>
      <c r="H31" s="3">
        <f>SUMIFS('Data Weekly'!$L$2:$L$273,'Data Weekly'!$A$2:$A$273,$B$5,'Data Weekly'!$D$2:$D$273,$A31)</f>
        <v>205</v>
      </c>
      <c r="I31" s="3">
        <f>SUMIFS('Data Weekly'!$M$2:$M$273,'Data Weekly'!$A$2:$A$273,$B$5,'Data Weekly'!$D$2:$D$273,$A31)</f>
        <v>407</v>
      </c>
      <c r="J31" s="3">
        <f>SUMIFS('Data Weekly'!$N$2:$N$273,'Data Weekly'!$A$2:$A$273,$B$5,'Data Weekly'!$D$2:$D$273,$A31)</f>
        <v>67</v>
      </c>
      <c r="K31" s="3">
        <f>SUMIFS('Data Weekly'!$O$2:$O$273,'Data Weekly'!$A$2:$A$273,$B$5,'Data Weekly'!$D$2:$D$273,$A31)</f>
        <v>0</v>
      </c>
      <c r="L31" s="3">
        <f>SUMIFS('Data Weekly'!$P$2:$P$273,'Data Weekly'!$A$2:$A$273,$B$5,'Data Weekly'!$D$2:$D$273,$A31)</f>
        <v>0</v>
      </c>
      <c r="M31" s="3">
        <f>SUMIFS('Data Weekly'!$Q$2:$Q$273,'Data Weekly'!$A$2:$A$273,$B$5,'Data Weekly'!$D$2:$D$273,$A31)</f>
        <v>32</v>
      </c>
      <c r="N31" s="3">
        <f>SUMIFS('Data Weekly'!$R$2:$R$273,'Data Weekly'!$A$2:$A$273,$B$5,'Data Weekly'!$D$2:$D$273,$A31)</f>
        <v>2551</v>
      </c>
      <c r="O31" s="4">
        <f>IF(OR(LEFT($A31,1)="W",LEFT($A31,10)="Sales + P1"),SUMIFS('Data Weekly'!$S$2:$S$273,'Data Weekly'!$A$2:$A$273,$B$5,'Data Weekly'!$D$2:$D$273,$A31),"")</f>
        <v>0.24004746152100001</v>
      </c>
      <c r="P31" s="6">
        <f>SUMIFS('Data Weekly'!$T$2:$T$273,'Data Weekly'!$A$2:$A$273,$B$5,'Data Weekly'!$D$2:$D$273,$A31)</f>
        <v>162</v>
      </c>
      <c r="Q31" s="2" t="str">
        <f>IFERROR(LOOKUP(2,1/(('Data Weekly'!$A$2:$A$273=$B$5)*('Data Weekly'!$D$2:$D$273=$A31)),'Data Weekly'!$U$2:$U$273),"")</f>
        <v>Global Follow Up · frozen weekly history</v>
      </c>
    </row>
    <row r="32" spans="1:17" ht="13.2">
      <c r="A32" s="2" t="s">
        <v>72</v>
      </c>
      <c r="B32" s="3">
        <f>SUMIFS('Data Weekly'!$F$2:$F$273,'Data Weekly'!$A$2:$A$273,$B$5,'Data Weekly'!$D$2:$D$273,$A32)</f>
        <v>310</v>
      </c>
      <c r="C32" s="3">
        <f>SUMIFS('Data Weekly'!$G$2:$G$273,'Data Weekly'!$A$2:$A$273,$B$5,'Data Weekly'!$D$2:$D$273,$A32)</f>
        <v>49</v>
      </c>
      <c r="D32" s="3">
        <f>SUMIFS('Data Weekly'!$H$2:$H$273,'Data Weekly'!$A$2:$A$273,$B$5,'Data Weekly'!$D$2:$D$273,$A32)</f>
        <v>251</v>
      </c>
      <c r="E32" s="3">
        <f>SUMIFS('Data Weekly'!$I$2:$I$273,'Data Weekly'!$A$2:$A$273,$B$5,'Data Weekly'!$D$2:$D$273,$A32)</f>
        <v>328</v>
      </c>
      <c r="F32" s="3">
        <f>SUMIFS('Data Weekly'!$J$2:$J$273,'Data Weekly'!$A$2:$A$273,$B$5,'Data Weekly'!$D$2:$D$273,$A32)</f>
        <v>242</v>
      </c>
      <c r="G32" s="3">
        <f>SUMIFS('Data Weekly'!$K$2:$K$273,'Data Weekly'!$A$2:$A$273,$B$5,'Data Weekly'!$D$2:$D$273,$A32)</f>
        <v>665</v>
      </c>
      <c r="H32" s="3">
        <f>SUMIFS('Data Weekly'!$L$2:$L$273,'Data Weekly'!$A$2:$A$273,$B$5,'Data Weekly'!$D$2:$D$273,$A32)</f>
        <v>244</v>
      </c>
      <c r="I32" s="3">
        <f>SUMIFS('Data Weekly'!$M$2:$M$273,'Data Weekly'!$A$2:$A$273,$B$5,'Data Weekly'!$D$2:$D$273,$A32)</f>
        <v>344</v>
      </c>
      <c r="J32" s="3">
        <f>SUMIFS('Data Weekly'!$N$2:$N$273,'Data Weekly'!$A$2:$A$273,$B$5,'Data Weekly'!$D$2:$D$273,$A32)</f>
        <v>69</v>
      </c>
      <c r="K32" s="3">
        <f>SUMIFS('Data Weekly'!$O$2:$O$273,'Data Weekly'!$A$2:$A$273,$B$5,'Data Weekly'!$D$2:$D$273,$A32)</f>
        <v>0</v>
      </c>
      <c r="L32" s="3">
        <f>SUMIFS('Data Weekly'!$P$2:$P$273,'Data Weekly'!$A$2:$A$273,$B$5,'Data Weekly'!$D$2:$D$273,$A32)</f>
        <v>0</v>
      </c>
      <c r="M32" s="3">
        <f>SUMIFS('Data Weekly'!$Q$2:$Q$273,'Data Weekly'!$A$2:$A$273,$B$5,'Data Weekly'!$D$2:$D$273,$A32)</f>
        <v>34</v>
      </c>
      <c r="N32" s="3">
        <f>SUMIFS('Data Weekly'!$R$2:$R$273,'Data Weekly'!$A$2:$A$273,$B$5,'Data Weekly'!$D$2:$D$273,$A32)</f>
        <v>2536</v>
      </c>
      <c r="O32" s="4">
        <f>IF(OR(LEFT($A32,1)="W",LEFT($A32,10)="Sales + P1"),SUMIFS('Data Weekly'!$S$2:$S$273,'Data Weekly'!$A$2:$A$273,$B$5,'Data Weekly'!$D$2:$D$273,$A32),"")</f>
        <v>0.23863597115499999</v>
      </c>
      <c r="P32" s="7">
        <f>SUMIFS('Data Weekly'!$T$2:$T$273,'Data Weekly'!$A$2:$A$273,$B$5,'Data Weekly'!$D$2:$D$273,$A32)</f>
        <v>-15</v>
      </c>
      <c r="Q32" s="2" t="str">
        <f>IFERROR(LOOKUP(2,1/(('Data Weekly'!$A$2:$A$273=$B$5)*('Data Weekly'!$D$2:$D$273=$A32)),'Data Weekly'!$U$2:$U$273),"")</f>
        <v>Jan–Jun Global Follow Up · Jul–Dec entity dashboards</v>
      </c>
    </row>
    <row r="33" spans="1:17" ht="13.2">
      <c r="A33" s="2" t="s">
        <v>73</v>
      </c>
      <c r="B33" s="3">
        <f>SUMIFS('Data Weekly'!$F$2:$F$273,'Data Weekly'!$A$2:$A$273,$B$5,'Data Weekly'!$D$2:$D$273,$A33)</f>
        <v>310</v>
      </c>
      <c r="C33" s="3">
        <f>SUMIFS('Data Weekly'!$G$2:$G$273,'Data Weekly'!$A$2:$A$273,$B$5,'Data Weekly'!$D$2:$D$273,$A33)</f>
        <v>49</v>
      </c>
      <c r="D33" s="3">
        <f>SUMIFS('Data Weekly'!$H$2:$H$273,'Data Weekly'!$A$2:$A$273,$B$5,'Data Weekly'!$D$2:$D$273,$A33)</f>
        <v>251</v>
      </c>
      <c r="E33" s="3">
        <f>SUMIFS('Data Weekly'!$I$2:$I$273,'Data Weekly'!$A$2:$A$273,$B$5,'Data Weekly'!$D$2:$D$273,$A33)</f>
        <v>328</v>
      </c>
      <c r="F33" s="3">
        <f>SUMIFS('Data Weekly'!$J$2:$J$273,'Data Weekly'!$A$2:$A$273,$B$5,'Data Weekly'!$D$2:$D$273,$A33)</f>
        <v>242</v>
      </c>
      <c r="G33" s="3">
        <f>SUMIFS('Data Weekly'!$K$2:$K$273,'Data Weekly'!$A$2:$A$273,$B$5,'Data Weekly'!$D$2:$D$273,$A33)</f>
        <v>665</v>
      </c>
      <c r="H33" s="3">
        <f>SUMIFS('Data Weekly'!$L$2:$L$273,'Data Weekly'!$A$2:$A$273,$B$5,'Data Weekly'!$D$2:$D$273,$A33)</f>
        <v>263</v>
      </c>
      <c r="I33" s="3">
        <f>SUMIFS('Data Weekly'!$M$2:$M$273,'Data Weekly'!$A$2:$A$273,$B$5,'Data Weekly'!$D$2:$D$273,$A33)</f>
        <v>353</v>
      </c>
      <c r="J33" s="3">
        <f>SUMIFS('Data Weekly'!$N$2:$N$273,'Data Weekly'!$A$2:$A$273,$B$5,'Data Weekly'!$D$2:$D$273,$A33)</f>
        <v>69</v>
      </c>
      <c r="K33" s="3">
        <f>SUMIFS('Data Weekly'!$O$2:$O$273,'Data Weekly'!$A$2:$A$273,$B$5,'Data Weekly'!$D$2:$D$273,$A33)</f>
        <v>0</v>
      </c>
      <c r="L33" s="3">
        <f>SUMIFS('Data Weekly'!$P$2:$P$273,'Data Weekly'!$A$2:$A$273,$B$5,'Data Weekly'!$D$2:$D$273,$A33)</f>
        <v>0</v>
      </c>
      <c r="M33" s="3">
        <f>SUMIFS('Data Weekly'!$Q$2:$Q$273,'Data Weekly'!$A$2:$A$273,$B$5,'Data Weekly'!$D$2:$D$273,$A33)</f>
        <v>34</v>
      </c>
      <c r="N33" s="3">
        <f>SUMIFS('Data Weekly'!$R$2:$R$273,'Data Weekly'!$A$2:$A$273,$B$5,'Data Weekly'!$D$2:$D$273,$A33)</f>
        <v>2564</v>
      </c>
      <c r="O33" s="4">
        <f>IF(OR(LEFT($A33,1)="W",LEFT($A33,10)="Sales + P1"),SUMIFS('Data Weekly'!$S$2:$S$273,'Data Weekly'!$A$2:$A$273,$B$5,'Data Weekly'!$D$2:$D$273,$A33),"")</f>
        <v>0.241270753171</v>
      </c>
      <c r="P33" s="6">
        <f>SUMIFS('Data Weekly'!$T$2:$T$273,'Data Weekly'!$A$2:$A$273,$B$5,'Data Weekly'!$D$2:$D$273,$A33)</f>
        <v>28</v>
      </c>
      <c r="Q33" s="2" t="str">
        <f>IFERROR(LOOKUP(2,1/(('Data Weekly'!$A$2:$A$273=$B$5)*('Data Weekly'!$D$2:$D$273=$A33)),'Data Weekly'!$U$2:$U$273),"")</f>
        <v>Jan–Jun Global Follow Up · Jul–Dec entity dashboards</v>
      </c>
    </row>
    <row r="34" spans="1:17" ht="13.2">
      <c r="A34" s="2" t="s">
        <v>74</v>
      </c>
      <c r="B34" s="3">
        <f>SUMIFS('Data Weekly'!$F$2:$F$273,'Data Weekly'!$A$2:$A$273,$B$5,'Data Weekly'!$D$2:$D$273,$A34)</f>
        <v>310</v>
      </c>
      <c r="C34" s="3">
        <f>SUMIFS('Data Weekly'!$G$2:$G$273,'Data Weekly'!$A$2:$A$273,$B$5,'Data Weekly'!$D$2:$D$273,$A34)</f>
        <v>49</v>
      </c>
      <c r="D34" s="3">
        <f>SUMIFS('Data Weekly'!$H$2:$H$273,'Data Weekly'!$A$2:$A$273,$B$5,'Data Weekly'!$D$2:$D$273,$A34)</f>
        <v>251</v>
      </c>
      <c r="E34" s="3">
        <f>SUMIFS('Data Weekly'!$I$2:$I$273,'Data Weekly'!$A$2:$A$273,$B$5,'Data Weekly'!$D$2:$D$273,$A34)</f>
        <v>328</v>
      </c>
      <c r="F34" s="3">
        <f>SUMIFS('Data Weekly'!$J$2:$J$273,'Data Weekly'!$A$2:$A$273,$B$5,'Data Weekly'!$D$2:$D$273,$A34)</f>
        <v>242</v>
      </c>
      <c r="G34" s="3">
        <f>SUMIFS('Data Weekly'!$K$2:$K$273,'Data Weekly'!$A$2:$A$273,$B$5,'Data Weekly'!$D$2:$D$273,$A34)</f>
        <v>665</v>
      </c>
      <c r="H34" s="3">
        <f>SUMIFS('Data Weekly'!$L$2:$L$273,'Data Weekly'!$A$2:$A$273,$B$5,'Data Weekly'!$D$2:$D$273,$A34)</f>
        <v>186</v>
      </c>
      <c r="I34" s="3">
        <f>SUMIFS('Data Weekly'!$M$2:$M$273,'Data Weekly'!$A$2:$A$273,$B$5,'Data Weekly'!$D$2:$D$273,$A34)</f>
        <v>36</v>
      </c>
      <c r="J34" s="3">
        <f>SUMIFS('Data Weekly'!$N$2:$N$273,'Data Weekly'!$A$2:$A$273,$B$5,'Data Weekly'!$D$2:$D$273,$A34)</f>
        <v>29</v>
      </c>
      <c r="K34" s="3">
        <f>SUMIFS('Data Weekly'!$O$2:$O$273,'Data Weekly'!$A$2:$A$273,$B$5,'Data Weekly'!$D$2:$D$273,$A34)</f>
        <v>237</v>
      </c>
      <c r="L34" s="3">
        <f>SUMIFS('Data Weekly'!$P$2:$P$273,'Data Weekly'!$A$2:$A$273,$B$5,'Data Weekly'!$D$2:$D$273,$A34)</f>
        <v>91</v>
      </c>
      <c r="M34" s="3">
        <f>SUMIFS('Data Weekly'!$Q$2:$Q$273,'Data Weekly'!$A$2:$A$273,$B$5,'Data Weekly'!$D$2:$D$273,$A34)</f>
        <v>148</v>
      </c>
      <c r="N34" s="3">
        <f>SUMIFS('Data Weekly'!$R$2:$R$273,'Data Weekly'!$A$2:$A$273,$B$5,'Data Weekly'!$D$2:$D$273,$A34)</f>
        <v>2572</v>
      </c>
      <c r="O34" s="4">
        <f>IF(OR(LEFT($A34,1)="W",LEFT($A34,10)="Sales + P1"),SUMIFS('Data Weekly'!$S$2:$S$273,'Data Weekly'!$A$2:$A$273,$B$5,'Data Weekly'!$D$2:$D$273,$A34),"")</f>
        <v>0.242023548033</v>
      </c>
      <c r="P34" s="6">
        <f>SUMIFS('Data Weekly'!$T$2:$T$273,'Data Weekly'!$A$2:$A$273,$B$5,'Data Weekly'!$D$2:$D$273,$A34)</f>
        <v>8</v>
      </c>
      <c r="Q34" s="2" t="str">
        <f>IFERROR(LOOKUP(2,1/(('Data Weekly'!$A$2:$A$273=$B$5)*('Data Weekly'!$D$2:$D$273=$A34)),'Data Weekly'!$U$2:$U$273),"")</f>
        <v>Jan–Jun Global Follow Up · Jul–Dec entity dashboards</v>
      </c>
    </row>
    <row r="35" spans="1:17" ht="13.2">
      <c r="A35" s="2" t="s">
        <v>75</v>
      </c>
      <c r="B35" s="3">
        <f>SUMIFS('Data Weekly'!$F$2:$F$273,'Data Weekly'!$A$2:$A$273,$B$5,'Data Weekly'!$D$2:$D$273,$A35)</f>
        <v>310</v>
      </c>
      <c r="C35" s="3">
        <f>SUMIFS('Data Weekly'!$G$2:$G$273,'Data Weekly'!$A$2:$A$273,$B$5,'Data Weekly'!$D$2:$D$273,$A35)</f>
        <v>49</v>
      </c>
      <c r="D35" s="3">
        <f>SUMIFS('Data Weekly'!$H$2:$H$273,'Data Weekly'!$A$2:$A$273,$B$5,'Data Weekly'!$D$2:$D$273,$A35)</f>
        <v>251</v>
      </c>
      <c r="E35" s="3">
        <f>SUMIFS('Data Weekly'!$I$2:$I$273,'Data Weekly'!$A$2:$A$273,$B$5,'Data Weekly'!$D$2:$D$273,$A35)</f>
        <v>328</v>
      </c>
      <c r="F35" s="3">
        <f>SUMIFS('Data Weekly'!$J$2:$J$273,'Data Weekly'!$A$2:$A$273,$B$5,'Data Weekly'!$D$2:$D$273,$A35)</f>
        <v>242</v>
      </c>
      <c r="G35" s="3">
        <f>SUMIFS('Data Weekly'!$K$2:$K$273,'Data Weekly'!$A$2:$A$273,$B$5,'Data Weekly'!$D$2:$D$273,$A35)</f>
        <v>665</v>
      </c>
      <c r="H35" s="3">
        <f>SUMIFS('Data Weekly'!$L$2:$L$273,'Data Weekly'!$A$2:$A$273,$B$5,'Data Weekly'!$D$2:$D$273,$A35)</f>
        <v>116.53666</v>
      </c>
      <c r="I35" s="3">
        <f>SUMIFS('Data Weekly'!$M$2:$M$273,'Data Weekly'!$A$2:$A$273,$B$5,'Data Weekly'!$D$2:$D$273,$A35)</f>
        <v>541</v>
      </c>
      <c r="J35" s="3">
        <f>SUMIFS('Data Weekly'!$N$2:$N$273,'Data Weekly'!$A$2:$A$273,$B$5,'Data Weekly'!$D$2:$D$273,$A35)</f>
        <v>69</v>
      </c>
      <c r="K35" s="3">
        <f>SUMIFS('Data Weekly'!$O$2:$O$273,'Data Weekly'!$A$2:$A$273,$B$5,'Data Weekly'!$D$2:$D$273,$A35)</f>
        <v>0</v>
      </c>
      <c r="L35" s="3">
        <f>SUMIFS('Data Weekly'!$P$2:$P$273,'Data Weekly'!$A$2:$A$273,$B$5,'Data Weekly'!$D$2:$D$273,$A35)</f>
        <v>0</v>
      </c>
      <c r="M35" s="3">
        <f>SUMIFS('Data Weekly'!$Q$2:$Q$273,'Data Weekly'!$A$2:$A$273,$B$5,'Data Weekly'!$D$2:$D$273,$A35)</f>
        <v>6</v>
      </c>
      <c r="N35" s="3">
        <f>SUMIFS('Data Weekly'!$R$2:$R$273,'Data Weekly'!$A$2:$A$273,$B$5,'Data Weekly'!$D$2:$D$273,$A35)</f>
        <v>2577.5366600000002</v>
      </c>
      <c r="O35" s="4">
        <f>IF(OR(LEFT($A35,1)="W",LEFT($A35,10)="Sales + P1"),SUMIFS('Data Weekly'!$S$2:$S$273,'Data Weekly'!$A$2:$A$273,$B$5,'Data Weekly'!$D$2:$D$273,$A35),"")</f>
        <v>0.242544544182</v>
      </c>
      <c r="P35" s="6">
        <f>SUMIFS('Data Weekly'!$T$2:$T$273,'Data Weekly'!$A$2:$A$273,$B$5,'Data Weekly'!$D$2:$D$273,$A35)</f>
        <v>5.5366600000000004</v>
      </c>
      <c r="Q35" s="2" t="str">
        <f>IFERROR(LOOKUP(2,1/(('Data Weekly'!$A$2:$A$273=$B$5)*('Data Weekly'!$D$2:$D$273=$A35)),'Data Weekly'!$U$2:$U$273),"")</f>
        <v>Jan–Jun Global Follow Up · Jul–Dec entity dashboards</v>
      </c>
    </row>
    <row r="36" spans="1:17" ht="13.2">
      <c r="A36" s="2" t="s">
        <v>76</v>
      </c>
      <c r="B36" s="3">
        <f>SUMIFS('Data Weekly'!$F$2:$F$273,'Data Weekly'!$A$2:$A$273,$B$5,'Data Weekly'!$D$2:$D$273,$A36)</f>
        <v>310</v>
      </c>
      <c r="C36" s="3">
        <f>SUMIFS('Data Weekly'!$G$2:$G$273,'Data Weekly'!$A$2:$A$273,$B$5,'Data Weekly'!$D$2:$D$273,$A36)</f>
        <v>49</v>
      </c>
      <c r="D36" s="3">
        <f>SUMIFS('Data Weekly'!$H$2:$H$273,'Data Weekly'!$A$2:$A$273,$B$5,'Data Weekly'!$D$2:$D$273,$A36)</f>
        <v>251</v>
      </c>
      <c r="E36" s="3">
        <f>SUMIFS('Data Weekly'!$I$2:$I$273,'Data Weekly'!$A$2:$A$273,$B$5,'Data Weekly'!$D$2:$D$273,$A36)</f>
        <v>328</v>
      </c>
      <c r="F36" s="3">
        <f>SUMIFS('Data Weekly'!$J$2:$J$273,'Data Weekly'!$A$2:$A$273,$B$5,'Data Weekly'!$D$2:$D$273,$A36)</f>
        <v>242</v>
      </c>
      <c r="G36" s="3">
        <f>SUMIFS('Data Weekly'!$K$2:$K$273,'Data Weekly'!$A$2:$A$273,$B$5,'Data Weekly'!$D$2:$D$273,$A36)</f>
        <v>665</v>
      </c>
      <c r="H36" s="3">
        <f>SUMIFS('Data Weekly'!$L$2:$L$273,'Data Weekly'!$A$2:$A$273,$B$5,'Data Weekly'!$D$2:$D$273,$A36)</f>
        <v>118.9134</v>
      </c>
      <c r="I36" s="3">
        <f>SUMIFS('Data Weekly'!$M$2:$M$273,'Data Weekly'!$A$2:$A$273,$B$5,'Data Weekly'!$D$2:$D$273,$A36)</f>
        <v>511</v>
      </c>
      <c r="J36" s="3">
        <f>SUMIFS('Data Weekly'!$N$2:$N$273,'Data Weekly'!$A$2:$A$273,$B$5,'Data Weekly'!$D$2:$D$273,$A36)</f>
        <v>139</v>
      </c>
      <c r="K36" s="3">
        <f>SUMIFS('Data Weekly'!$O$2:$O$273,'Data Weekly'!$A$2:$A$273,$B$5,'Data Weekly'!$D$2:$D$273,$A36)</f>
        <v>0</v>
      </c>
      <c r="L36" s="3">
        <f>SUMIFS('Data Weekly'!$P$2:$P$273,'Data Weekly'!$A$2:$A$273,$B$5,'Data Weekly'!$D$2:$D$273,$A36)</f>
        <v>91</v>
      </c>
      <c r="M36" s="3">
        <f>SUMIFS('Data Weekly'!$Q$2:$Q$273,'Data Weekly'!$A$2:$A$273,$B$5,'Data Weekly'!$D$2:$D$273,$A36)</f>
        <v>6</v>
      </c>
      <c r="N36" s="3">
        <f>SUMIFS('Data Weekly'!$R$2:$R$273,'Data Weekly'!$A$2:$A$273,$B$5,'Data Weekly'!$D$2:$D$273,$A36)</f>
        <v>2710.9133999999999</v>
      </c>
      <c r="O36" s="4">
        <f>IF(OR(LEFT($A36,1)="W",LEFT($A36,10)="Sales + P1"),SUMIFS('Data Weekly'!$S$2:$S$273,'Data Weekly'!$A$2:$A$273,$B$5,'Data Weekly'!$D$2:$D$273,$A36),"")</f>
        <v>0.25509520975</v>
      </c>
      <c r="P36" s="6">
        <f>SUMIFS('Data Weekly'!$T$2:$T$273,'Data Weekly'!$A$2:$A$273,$B$5,'Data Weekly'!$D$2:$D$273,$A36)</f>
        <v>133.37674000000001</v>
      </c>
      <c r="Q36" s="2" t="str">
        <f>IFERROR(LOOKUP(2,1/(('Data Weekly'!$A$2:$A$273=$B$5)*('Data Weekly'!$D$2:$D$273=$A36)),'Data Weekly'!$U$2:$U$273),"")</f>
        <v>Jan–Jun Global Follow Up · Jul–Dec entity dashboards</v>
      </c>
    </row>
    <row r="37" spans="1:17" ht="13.2">
      <c r="A37" s="2" t="s">
        <v>77</v>
      </c>
      <c r="B37" s="3">
        <f>SUMIFS('Data Weekly'!$F$2:$F$273,'Data Weekly'!$A$2:$A$273,$B$5,'Data Weekly'!$D$2:$D$273,$A37)</f>
        <v>310</v>
      </c>
      <c r="C37" s="3">
        <f>SUMIFS('Data Weekly'!$G$2:$G$273,'Data Weekly'!$A$2:$A$273,$B$5,'Data Weekly'!$D$2:$D$273,$A37)</f>
        <v>49</v>
      </c>
      <c r="D37" s="3">
        <f>SUMIFS('Data Weekly'!$H$2:$H$273,'Data Weekly'!$A$2:$A$273,$B$5,'Data Weekly'!$D$2:$D$273,$A37)</f>
        <v>251</v>
      </c>
      <c r="E37" s="3">
        <f>SUMIFS('Data Weekly'!$I$2:$I$273,'Data Weekly'!$A$2:$A$273,$B$5,'Data Weekly'!$D$2:$D$273,$A37)</f>
        <v>328</v>
      </c>
      <c r="F37" s="3">
        <f>SUMIFS('Data Weekly'!$J$2:$J$273,'Data Weekly'!$A$2:$A$273,$B$5,'Data Weekly'!$D$2:$D$273,$A37)</f>
        <v>242</v>
      </c>
      <c r="G37" s="3">
        <f>SUMIFS('Data Weekly'!$K$2:$K$273,'Data Weekly'!$A$2:$A$273,$B$5,'Data Weekly'!$D$2:$D$273,$A37)</f>
        <v>665</v>
      </c>
      <c r="H37" s="3">
        <f>SUMIFS('Data Weekly'!$L$2:$L$273,'Data Weekly'!$A$2:$A$273,$B$5,'Data Weekly'!$D$2:$D$273,$A37)</f>
        <v>118.9134</v>
      </c>
      <c r="I37" s="3">
        <f>SUMIFS('Data Weekly'!$M$2:$M$273,'Data Weekly'!$A$2:$A$273,$B$5,'Data Weekly'!$D$2:$D$273,$A37)</f>
        <v>170</v>
      </c>
      <c r="J37" s="3">
        <f>SUMIFS('Data Weekly'!$N$2:$N$273,'Data Weekly'!$A$2:$A$273,$B$5,'Data Weekly'!$D$2:$D$273,$A37)</f>
        <v>485</v>
      </c>
      <c r="K37" s="3">
        <f>SUMIFS('Data Weekly'!$O$2:$O$273,'Data Weekly'!$A$2:$A$273,$B$5,'Data Weekly'!$D$2:$D$273,$A37)</f>
        <v>167</v>
      </c>
      <c r="L37" s="3">
        <f>SUMIFS('Data Weekly'!$P$2:$P$273,'Data Weekly'!$A$2:$A$273,$B$5,'Data Weekly'!$D$2:$D$273,$A37)</f>
        <v>30</v>
      </c>
      <c r="M37" s="3">
        <f>SUMIFS('Data Weekly'!$Q$2:$Q$273,'Data Weekly'!$A$2:$A$273,$B$5,'Data Weekly'!$D$2:$D$273,$A37)</f>
        <v>66</v>
      </c>
      <c r="N37" s="3">
        <f>SUMIFS('Data Weekly'!$R$2:$R$273,'Data Weekly'!$A$2:$A$273,$B$5,'Data Weekly'!$D$2:$D$273,$A37)</f>
        <v>2881.9133999999999</v>
      </c>
      <c r="O37" s="4">
        <f>IF(OR(LEFT($A37,1)="W",LEFT($A37,10)="Sales + P1"),SUMIFS('Data Weekly'!$S$2:$S$273,'Data Weekly'!$A$2:$A$273,$B$5,'Data Weekly'!$D$2:$D$273,$A37),"")</f>
        <v>0.271186199919</v>
      </c>
      <c r="P37" s="6">
        <f>SUMIFS('Data Weekly'!$T$2:$T$273,'Data Weekly'!$A$2:$A$273,$B$5,'Data Weekly'!$D$2:$D$273,$A37)</f>
        <v>171</v>
      </c>
      <c r="Q37" s="2" t="str">
        <f>IFERROR(LOOKUP(2,1/(('Data Weekly'!$A$2:$A$273=$B$5)*('Data Weekly'!$D$2:$D$273=$A37)),'Data Weekly'!$U$2:$U$273),"")</f>
        <v>Jan–Jun Global Follow Up · Jul–Dec entity dashboards</v>
      </c>
    </row>
    <row r="38" spans="1:17" ht="13.2">
      <c r="A38" s="2" t="s">
        <v>78</v>
      </c>
      <c r="B38" s="3">
        <f>SUMIFS('Data Weekly'!$F$2:$F$273,'Data Weekly'!$A$2:$A$273,$B$5,'Data Weekly'!$D$2:$D$273,$A38)</f>
        <v>310</v>
      </c>
      <c r="C38" s="3">
        <f>SUMIFS('Data Weekly'!$G$2:$G$273,'Data Weekly'!$A$2:$A$273,$B$5,'Data Weekly'!$D$2:$D$273,$A38)</f>
        <v>49</v>
      </c>
      <c r="D38" s="3">
        <f>SUMIFS('Data Weekly'!$H$2:$H$273,'Data Weekly'!$A$2:$A$273,$B$5,'Data Weekly'!$D$2:$D$273,$A38)</f>
        <v>251</v>
      </c>
      <c r="E38" s="3">
        <f>SUMIFS('Data Weekly'!$I$2:$I$273,'Data Weekly'!$A$2:$A$273,$B$5,'Data Weekly'!$D$2:$D$273,$A38)</f>
        <v>328</v>
      </c>
      <c r="F38" s="3">
        <f>SUMIFS('Data Weekly'!$J$2:$J$273,'Data Weekly'!$A$2:$A$273,$B$5,'Data Weekly'!$D$2:$D$273,$A38)</f>
        <v>242</v>
      </c>
      <c r="G38" s="3">
        <f>SUMIFS('Data Weekly'!$K$2:$K$273,'Data Weekly'!$A$2:$A$273,$B$5,'Data Weekly'!$D$2:$D$273,$A38)</f>
        <v>665</v>
      </c>
      <c r="H38" s="3">
        <f>SUMIFS('Data Weekly'!$L$2:$L$273,'Data Weekly'!$A$2:$A$273,$B$5,'Data Weekly'!$D$2:$D$273,$A38)</f>
        <v>118.9134</v>
      </c>
      <c r="I38" s="3">
        <f>SUMIFS('Data Weekly'!$M$2:$M$273,'Data Weekly'!$A$2:$A$273,$B$5,'Data Weekly'!$D$2:$D$273,$A38)</f>
        <v>96</v>
      </c>
      <c r="J38" s="3">
        <f>SUMIFS('Data Weekly'!$N$2:$N$273,'Data Weekly'!$A$2:$A$273,$B$5,'Data Weekly'!$D$2:$D$273,$A38)</f>
        <v>564</v>
      </c>
      <c r="K38" s="3">
        <f>SUMIFS('Data Weekly'!$O$2:$O$273,'Data Weekly'!$A$2:$A$273,$B$5,'Data Weekly'!$D$2:$D$273,$A38)</f>
        <v>167</v>
      </c>
      <c r="L38" s="3">
        <f>SUMIFS('Data Weekly'!$P$2:$P$273,'Data Weekly'!$A$2:$A$273,$B$5,'Data Weekly'!$D$2:$D$273,$A38)</f>
        <v>30</v>
      </c>
      <c r="M38" s="3">
        <f>SUMIFS('Data Weekly'!$Q$2:$Q$273,'Data Weekly'!$A$2:$A$273,$B$5,'Data Weekly'!$D$2:$D$273,$A38)</f>
        <v>62</v>
      </c>
      <c r="N38" s="3">
        <f>SUMIFS('Data Weekly'!$R$2:$R$273,'Data Weekly'!$A$2:$A$273,$B$5,'Data Weekly'!$D$2:$D$273,$A38)</f>
        <v>2882.9133999999999</v>
      </c>
      <c r="O38" s="4">
        <f>IF(OR(LEFT($A38,1)="W",LEFT($A38,10)="Sales + P1"),SUMIFS('Data Weekly'!$S$2:$S$273,'Data Weekly'!$A$2:$A$273,$B$5,'Data Weekly'!$D$2:$D$273,$A38),"")</f>
        <v>0.271280299276</v>
      </c>
      <c r="P38" s="6">
        <f>SUMIFS('Data Weekly'!$T$2:$T$273,'Data Weekly'!$A$2:$A$273,$B$5,'Data Weekly'!$D$2:$D$273,$A38)</f>
        <v>1</v>
      </c>
      <c r="Q38" s="2" t="str">
        <f>IFERROR(LOOKUP(2,1/(('Data Weekly'!$A$2:$A$273=$B$5)*('Data Weekly'!$D$2:$D$273=$A38)),'Data Weekly'!$U$2:$U$273),"")</f>
        <v>Jan–Jun Global Follow Up · Jul–Dec entity dashboards</v>
      </c>
    </row>
    <row r="39" spans="1:17" ht="13.2">
      <c r="A39" s="2" t="s">
        <v>79</v>
      </c>
      <c r="B39" s="3">
        <f>SUMIFS('Data Weekly'!$F$2:$F$273,'Data Weekly'!$A$2:$A$273,$B$5,'Data Weekly'!$D$2:$D$273,$A39)</f>
        <v>310</v>
      </c>
      <c r="C39" s="3">
        <f>SUMIFS('Data Weekly'!$G$2:$G$273,'Data Weekly'!$A$2:$A$273,$B$5,'Data Weekly'!$D$2:$D$273,$A39)</f>
        <v>49</v>
      </c>
      <c r="D39" s="3">
        <f>SUMIFS('Data Weekly'!$H$2:$H$273,'Data Weekly'!$A$2:$A$273,$B$5,'Data Weekly'!$D$2:$D$273,$A39)</f>
        <v>251</v>
      </c>
      <c r="E39" s="3">
        <f>SUMIFS('Data Weekly'!$I$2:$I$273,'Data Weekly'!$A$2:$A$273,$B$5,'Data Weekly'!$D$2:$D$273,$A39)</f>
        <v>328</v>
      </c>
      <c r="F39" s="3">
        <f>SUMIFS('Data Weekly'!$J$2:$J$273,'Data Weekly'!$A$2:$A$273,$B$5,'Data Weekly'!$D$2:$D$273,$A39)</f>
        <v>242</v>
      </c>
      <c r="G39" s="3">
        <f>SUMIFS('Data Weekly'!$K$2:$K$273,'Data Weekly'!$A$2:$A$273,$B$5,'Data Weekly'!$D$2:$D$273,$A39)</f>
        <v>665</v>
      </c>
      <c r="H39" s="3">
        <f>SUMIFS('Data Weekly'!$L$2:$L$273,'Data Weekly'!$A$2:$A$273,$B$5,'Data Weekly'!$D$2:$D$273,$A39)</f>
        <v>118.9134</v>
      </c>
      <c r="I39" s="3">
        <f>SUMIFS('Data Weekly'!$M$2:$M$273,'Data Weekly'!$A$2:$A$273,$B$5,'Data Weekly'!$D$2:$D$273,$A39)</f>
        <v>81</v>
      </c>
      <c r="J39" s="3">
        <f>SUMIFS('Data Weekly'!$N$2:$N$273,'Data Weekly'!$A$2:$A$273,$B$5,'Data Weekly'!$D$2:$D$273,$A39)</f>
        <v>593</v>
      </c>
      <c r="K39" s="3">
        <f>SUMIFS('Data Weekly'!$O$2:$O$273,'Data Weekly'!$A$2:$A$273,$B$5,'Data Weekly'!$D$2:$D$273,$A39)</f>
        <v>167</v>
      </c>
      <c r="L39" s="3">
        <f>SUMIFS('Data Weekly'!$P$2:$P$273,'Data Weekly'!$A$2:$A$273,$B$5,'Data Weekly'!$D$2:$D$273,$A39)</f>
        <v>30</v>
      </c>
      <c r="M39" s="3">
        <f>SUMIFS('Data Weekly'!$Q$2:$Q$273,'Data Weekly'!$A$2:$A$273,$B$5,'Data Weekly'!$D$2:$D$273,$A39)</f>
        <v>62</v>
      </c>
      <c r="N39" s="3">
        <f>SUMIFS('Data Weekly'!$R$2:$R$273,'Data Weekly'!$A$2:$A$273,$B$5,'Data Weekly'!$D$2:$D$273,$A39)</f>
        <v>2896.9133999999999</v>
      </c>
      <c r="O39" s="4">
        <f>IF(OR(LEFT($A39,1)="W",LEFT($A39,10)="Sales + P1"),SUMIFS('Data Weekly'!$S$2:$S$273,'Data Weekly'!$A$2:$A$273,$B$5,'Data Weekly'!$D$2:$D$273,$A39),"")</f>
        <v>0.27259769028399999</v>
      </c>
      <c r="P39" s="6">
        <f>SUMIFS('Data Weekly'!$T$2:$T$273,'Data Weekly'!$A$2:$A$273,$B$5,'Data Weekly'!$D$2:$D$273,$A39)</f>
        <v>14</v>
      </c>
      <c r="Q39" s="2" t="str">
        <f>IFERROR(LOOKUP(2,1/(('Data Weekly'!$A$2:$A$273=$B$5)*('Data Weekly'!$D$2:$D$273=$A39)),'Data Weekly'!$U$2:$U$273),"")</f>
        <v>Jan–Jun Global Follow Up · Jul–Dec entity dashboards</v>
      </c>
    </row>
    <row r="40" spans="1:17" ht="13.2">
      <c r="A40" s="2" t="s">
        <v>80</v>
      </c>
      <c r="B40" s="3">
        <f>SUMIFS('Data Weekly'!$F$2:$F$273,'Data Weekly'!$A$2:$A$273,$B$5,'Data Weekly'!$D$2:$D$273,$A40)</f>
        <v>310</v>
      </c>
      <c r="C40" s="3">
        <f>SUMIFS('Data Weekly'!$G$2:$G$273,'Data Weekly'!$A$2:$A$273,$B$5,'Data Weekly'!$D$2:$D$273,$A40)</f>
        <v>49</v>
      </c>
      <c r="D40" s="3">
        <f>SUMIFS('Data Weekly'!$H$2:$H$273,'Data Weekly'!$A$2:$A$273,$B$5,'Data Weekly'!$D$2:$D$273,$A40)</f>
        <v>251</v>
      </c>
      <c r="E40" s="3">
        <f>SUMIFS('Data Weekly'!$I$2:$I$273,'Data Weekly'!$A$2:$A$273,$B$5,'Data Weekly'!$D$2:$D$273,$A40)</f>
        <v>328</v>
      </c>
      <c r="F40" s="3">
        <f>SUMIFS('Data Weekly'!$J$2:$J$273,'Data Weekly'!$A$2:$A$273,$B$5,'Data Weekly'!$D$2:$D$273,$A40)</f>
        <v>242</v>
      </c>
      <c r="G40" s="3">
        <f>SUMIFS('Data Weekly'!$K$2:$K$273,'Data Weekly'!$A$2:$A$273,$B$5,'Data Weekly'!$D$2:$D$273,$A40)</f>
        <v>665</v>
      </c>
      <c r="H40" s="3">
        <f>SUMIFS('Data Weekly'!$L$2:$L$273,'Data Weekly'!$A$2:$A$273,$B$5,'Data Weekly'!$D$2:$D$273,$A40)</f>
        <v>118.9134</v>
      </c>
      <c r="I40" s="3">
        <f>SUMIFS('Data Weekly'!$M$2:$M$273,'Data Weekly'!$A$2:$A$273,$B$5,'Data Weekly'!$D$2:$D$273,$A40)</f>
        <v>77</v>
      </c>
      <c r="J40" s="3">
        <f>SUMIFS('Data Weekly'!$N$2:$N$273,'Data Weekly'!$A$2:$A$273,$B$5,'Data Weekly'!$D$2:$D$273,$A40)</f>
        <v>602</v>
      </c>
      <c r="K40" s="3">
        <f>SUMIFS('Data Weekly'!$O$2:$O$273,'Data Weekly'!$A$2:$A$273,$B$5,'Data Weekly'!$D$2:$D$273,$A40)</f>
        <v>167</v>
      </c>
      <c r="L40" s="3">
        <f>SUMIFS('Data Weekly'!$P$2:$P$273,'Data Weekly'!$A$2:$A$273,$B$5,'Data Weekly'!$D$2:$D$273,$A40)</f>
        <v>90</v>
      </c>
      <c r="M40" s="3">
        <f>SUMIFS('Data Weekly'!$Q$2:$Q$273,'Data Weekly'!$A$2:$A$273,$B$5,'Data Weekly'!$D$2:$D$273,$A40)</f>
        <v>62</v>
      </c>
      <c r="N40" s="3">
        <f>SUMIFS('Data Weekly'!$R$2:$R$273,'Data Weekly'!$A$2:$A$273,$B$5,'Data Weekly'!$D$2:$D$273,$A40)</f>
        <v>2961.9133999999999</v>
      </c>
      <c r="O40" s="4">
        <f>IF(OR(LEFT($A40,1)="W",LEFT($A40,10)="Sales + P1"),SUMIFS('Data Weekly'!$S$2:$S$273,'Data Weekly'!$A$2:$A$273,$B$5,'Data Weekly'!$D$2:$D$273,$A40),"")</f>
        <v>0.27871414853600002</v>
      </c>
      <c r="P40" s="6">
        <f>SUMIFS('Data Weekly'!$T$2:$T$273,'Data Weekly'!$A$2:$A$273,$B$5,'Data Weekly'!$D$2:$D$273,$A40)</f>
        <v>65</v>
      </c>
      <c r="Q40" s="2" t="str">
        <f>IFERROR(LOOKUP(2,1/(('Data Weekly'!$A$2:$A$273=$B$5)*('Data Weekly'!$D$2:$D$273=$A40)),'Data Weekly'!$U$2:$U$273),"")</f>
        <v>Jan–Jun Global Follow Up · Jul–Dec entity dashboards</v>
      </c>
    </row>
    <row r="41" spans="1:17" ht="13.2">
      <c r="A41" s="9" t="s">
        <v>81</v>
      </c>
      <c r="B41" s="12">
        <f>SUMIFS('Data Weekly'!$F$2:$F$273,'Data Weekly'!$A$2:$A$273,$B$5,'Data Weekly'!$D$2:$D$273,$A41)</f>
        <v>0</v>
      </c>
      <c r="C41" s="12">
        <f>SUMIFS('Data Weekly'!$G$2:$G$273,'Data Weekly'!$A$2:$A$273,$B$5,'Data Weekly'!$D$2:$D$273,$A41)</f>
        <v>0</v>
      </c>
      <c r="D41" s="12">
        <f>SUMIFS('Data Weekly'!$H$2:$H$273,'Data Weekly'!$A$2:$A$273,$B$5,'Data Weekly'!$D$2:$D$273,$A41)</f>
        <v>1</v>
      </c>
      <c r="E41" s="12">
        <f>SUMIFS('Data Weekly'!$I$2:$I$273,'Data Weekly'!$A$2:$A$273,$B$5,'Data Weekly'!$D$2:$D$273,$A41)</f>
        <v>0</v>
      </c>
      <c r="F41" s="12">
        <f>SUMIFS('Data Weekly'!$J$2:$J$273,'Data Weekly'!$A$2:$A$273,$B$5,'Data Weekly'!$D$2:$D$273,$A41)</f>
        <v>0</v>
      </c>
      <c r="G41" s="12">
        <f>SUMIFS('Data Weekly'!$K$2:$K$273,'Data Weekly'!$A$2:$A$273,$B$5,'Data Weekly'!$D$2:$D$273,$A41)</f>
        <v>0</v>
      </c>
      <c r="H41" s="12">
        <f>SUMIFS('Data Weekly'!$L$2:$L$273,'Data Weekly'!$A$2:$A$273,$B$5,'Data Weekly'!$D$2:$D$273,$A41)</f>
        <v>0</v>
      </c>
      <c r="I41" s="12">
        <f>SUMIFS('Data Weekly'!$M$2:$M$273,'Data Weekly'!$A$2:$A$273,$B$5,'Data Weekly'!$D$2:$D$273,$A41)</f>
        <v>0</v>
      </c>
      <c r="J41" s="12">
        <f>SUMIFS('Data Weekly'!$N$2:$N$273,'Data Weekly'!$A$2:$A$273,$B$5,'Data Weekly'!$D$2:$D$273,$A41)</f>
        <v>56</v>
      </c>
      <c r="K41" s="12">
        <f>SUMIFS('Data Weekly'!$O$2:$O$273,'Data Weekly'!$A$2:$A$273,$B$5,'Data Weekly'!$D$2:$D$273,$A41)</f>
        <v>53</v>
      </c>
      <c r="L41" s="12">
        <f>SUMIFS('Data Weekly'!$P$2:$P$273,'Data Weekly'!$A$2:$A$273,$B$5,'Data Weekly'!$D$2:$D$273,$A41)</f>
        <v>155</v>
      </c>
      <c r="M41" s="12">
        <f>SUMIFS('Data Weekly'!$Q$2:$Q$273,'Data Weekly'!$A$2:$A$273,$B$5,'Data Weekly'!$D$2:$D$273,$A41)</f>
        <v>6</v>
      </c>
      <c r="N41" s="3">
        <f>SUMIFS('Data Weekly'!$R$2:$R$273,'Data Weekly'!$A$2:$A$273,$B$5,'Data Weekly'!$D$2:$D$273,$A41)</f>
        <v>271</v>
      </c>
      <c r="O41" s="4" t="str">
        <f>IF(OR(LEFT($A41,1)="W",LEFT($A41,10)="Sales + P1"),SUMIFS('Data Weekly'!$S$2:$S$273,'Data Weekly'!$A$2:$A$273,$B$5,'Data Weekly'!$D$2:$D$273,$A41),"")</f>
        <v/>
      </c>
      <c r="P41" s="3">
        <f>SUMIFS('Data Weekly'!$T$2:$T$273,'Data Weekly'!$A$2:$A$273,$B$5,'Data Weekly'!$D$2:$D$273,$A41)</f>
        <v>0</v>
      </c>
      <c r="Q41" s="2" t="str">
        <f>IFERROR(LOOKUP(2,1/(('Data Weekly'!$A$2:$A$273=$B$5)*('Data Weekly'!$D$2:$D$273=$A41)),'Data Weekly'!$U$2:$U$273),"")</f>
        <v>Pipeline workbook</v>
      </c>
    </row>
    <row r="42" spans="1:17" ht="13.2">
      <c r="A42" s="11" t="s">
        <v>82</v>
      </c>
      <c r="B42" s="10">
        <f>SUMIFS('Data Weekly'!$F$2:$F$273,'Data Weekly'!$A$2:$A$273,$B$5,'Data Weekly'!$D$2:$D$273,$A42)</f>
        <v>310</v>
      </c>
      <c r="C42" s="10">
        <f>SUMIFS('Data Weekly'!$G$2:$G$273,'Data Weekly'!$A$2:$A$273,$B$5,'Data Weekly'!$D$2:$D$273,$A42)</f>
        <v>49</v>
      </c>
      <c r="D42" s="10">
        <f>SUMIFS('Data Weekly'!$H$2:$H$273,'Data Weekly'!$A$2:$A$273,$B$5,'Data Weekly'!$D$2:$D$273,$A42)</f>
        <v>252</v>
      </c>
      <c r="E42" s="10">
        <f>SUMIFS('Data Weekly'!$I$2:$I$273,'Data Weekly'!$A$2:$A$273,$B$5,'Data Weekly'!$D$2:$D$273,$A42)</f>
        <v>328</v>
      </c>
      <c r="F42" s="10">
        <f>SUMIFS('Data Weekly'!$J$2:$J$273,'Data Weekly'!$A$2:$A$273,$B$5,'Data Weekly'!$D$2:$D$273,$A42)</f>
        <v>242</v>
      </c>
      <c r="G42" s="10">
        <f>SUMIFS('Data Weekly'!$K$2:$K$273,'Data Weekly'!$A$2:$A$273,$B$5,'Data Weekly'!$D$2:$D$273,$A42)</f>
        <v>665</v>
      </c>
      <c r="H42" s="10">
        <f>SUMIFS('Data Weekly'!$L$2:$L$273,'Data Weekly'!$A$2:$A$273,$B$5,'Data Weekly'!$D$2:$D$273,$A42)</f>
        <v>118.9134</v>
      </c>
      <c r="I42" s="10">
        <f>SUMIFS('Data Weekly'!$M$2:$M$273,'Data Weekly'!$A$2:$A$273,$B$5,'Data Weekly'!$D$2:$D$273,$A42)</f>
        <v>77</v>
      </c>
      <c r="J42" s="10">
        <f>SUMIFS('Data Weekly'!$N$2:$N$273,'Data Weekly'!$A$2:$A$273,$B$5,'Data Weekly'!$D$2:$D$273,$A42)</f>
        <v>658</v>
      </c>
      <c r="K42" s="10">
        <f>SUMIFS('Data Weekly'!$O$2:$O$273,'Data Weekly'!$A$2:$A$273,$B$5,'Data Weekly'!$D$2:$D$273,$A42)</f>
        <v>220</v>
      </c>
      <c r="L42" s="10">
        <f>SUMIFS('Data Weekly'!$P$2:$P$273,'Data Weekly'!$A$2:$A$273,$B$5,'Data Weekly'!$D$2:$D$273,$A42)</f>
        <v>245</v>
      </c>
      <c r="M42" s="10">
        <f>SUMIFS('Data Weekly'!$Q$2:$Q$273,'Data Weekly'!$A$2:$A$273,$B$5,'Data Weekly'!$D$2:$D$273,$A42)</f>
        <v>68</v>
      </c>
      <c r="N42" s="10">
        <f>SUMIFS('Data Weekly'!$R$2:$R$273,'Data Weekly'!$A$2:$A$273,$B$5,'Data Weekly'!$D$2:$D$273,$A42)</f>
        <v>3232.9133999999999</v>
      </c>
      <c r="O42" s="4">
        <f>IF(OR(LEFT($A42,1)="W",LEFT($A42,10)="Sales + P1"),SUMIFS('Data Weekly'!$S$2:$S$273,'Data Weekly'!$A$2:$A$273,$B$5,'Data Weekly'!$D$2:$D$273,$A42),"")</f>
        <v>0.30421507447500001</v>
      </c>
      <c r="P42" s="3">
        <f>SUMIFS('Data Weekly'!$T$2:$T$273,'Data Weekly'!$A$2:$A$273,$B$5,'Data Weekly'!$D$2:$D$273,$A42)</f>
        <v>0</v>
      </c>
      <c r="Q42" s="2" t="str">
        <f>IFERROR(LOOKUP(2,1/(('Data Weekly'!$A$2:$A$273=$B$5)*('Data Weekly'!$D$2:$D$273=$A42)),'Data Weekly'!$U$2:$U$273),"")</f>
        <v>Hybrid monthly history + pipeline workbook</v>
      </c>
    </row>
  </sheetData>
  <mergeCells count="6">
    <mergeCell ref="A7:Q7"/>
    <mergeCell ref="A1:Q2"/>
    <mergeCell ref="A3:Q3"/>
    <mergeCell ref="D5:H5"/>
    <mergeCell ref="J5:Q5"/>
    <mergeCell ref="A6:Q6"/>
  </mergeCells>
  <phoneticPr fontId="11" type="noConversion"/>
  <dataValidations count="1">
    <dataValidation type="list" showInputMessage="1" showErrorMessage="1" errorTitle="Invalid selection" error="Select a value from the dropdown list." promptTitle="Business Unit" prompt="Select the Business Unit shown in the matrix." sqref="B5" xr:uid="{00000000-0002-0000-0100-000000000000}">
      <formula1>"PDA,PDE,PDP,PSG,PUS,DMX,DBR,FFLEX"</formula1>
    </dataValidation>
  </dataValidations>
  <pageMargins left="0.35" right="0.35" top="0.55000000000000004" bottom="0.55000000000000004" header="0.2" footer="0.2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3"/>
  <sheetViews>
    <sheetView showGridLines="0" workbookViewId="0"/>
  </sheetViews>
  <sheetFormatPr defaultRowHeight="13.8"/>
  <sheetData>
    <row r="1" spans="1:21" ht="24">
      <c r="A1" s="1" t="s">
        <v>83</v>
      </c>
      <c r="B1" s="1" t="s">
        <v>11</v>
      </c>
      <c r="C1" s="1" t="s">
        <v>10</v>
      </c>
      <c r="D1" s="1" t="s">
        <v>84</v>
      </c>
      <c r="E1" s="1" t="s">
        <v>85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47</v>
      </c>
      <c r="S1" s="1" t="s">
        <v>13</v>
      </c>
      <c r="T1" s="1" t="s">
        <v>48</v>
      </c>
      <c r="U1" s="1" t="s">
        <v>49</v>
      </c>
    </row>
    <row r="2" spans="1:21" ht="13.2">
      <c r="A2" s="2" t="s">
        <v>42</v>
      </c>
      <c r="B2" s="2" t="s">
        <v>86</v>
      </c>
      <c r="C2" s="2" t="s">
        <v>15</v>
      </c>
      <c r="D2" s="2" t="s">
        <v>12</v>
      </c>
      <c r="E2" s="2">
        <v>0</v>
      </c>
      <c r="F2" s="3">
        <v>842.19690034772998</v>
      </c>
      <c r="G2" s="3">
        <v>889.09172751672997</v>
      </c>
      <c r="H2" s="3">
        <v>920.68851713838001</v>
      </c>
      <c r="I2" s="3">
        <v>912.37541971092003</v>
      </c>
      <c r="J2" s="3">
        <v>873.54919874784002</v>
      </c>
      <c r="K2" s="3">
        <v>937.03790652785995</v>
      </c>
      <c r="L2" s="3">
        <v>877.69876765372999</v>
      </c>
      <c r="M2" s="3">
        <v>889.68641115966</v>
      </c>
      <c r="N2" s="3">
        <v>867.79986821642001</v>
      </c>
      <c r="O2" s="3">
        <v>845.67322906417996</v>
      </c>
      <c r="P2" s="3">
        <v>853.76018989833005</v>
      </c>
      <c r="Q2" s="3">
        <v>917.50696122654995</v>
      </c>
      <c r="R2" s="3">
        <v>10627.065097208331</v>
      </c>
      <c r="S2" s="4"/>
      <c r="T2" s="3"/>
      <c r="U2" s="2" t="s">
        <v>87</v>
      </c>
    </row>
    <row r="3" spans="1:21" ht="13.2">
      <c r="A3" s="2" t="s">
        <v>42</v>
      </c>
      <c r="B3" s="2" t="s">
        <v>86</v>
      </c>
      <c r="C3" s="2" t="s">
        <v>15</v>
      </c>
      <c r="D3" s="2" t="s">
        <v>50</v>
      </c>
      <c r="E3" s="2">
        <v>5</v>
      </c>
      <c r="F3" s="3">
        <v>281</v>
      </c>
      <c r="G3" s="3">
        <v>20.45</v>
      </c>
      <c r="H3" s="3">
        <v>295.02</v>
      </c>
      <c r="I3" s="3">
        <v>9.14</v>
      </c>
      <c r="J3" s="3">
        <v>0</v>
      </c>
      <c r="K3" s="3">
        <v>0</v>
      </c>
      <c r="L3" s="3">
        <v>434</v>
      </c>
      <c r="M3" s="3">
        <v>239.09</v>
      </c>
      <c r="N3" s="3">
        <v>0</v>
      </c>
      <c r="O3" s="3">
        <v>0</v>
      </c>
      <c r="P3" s="3">
        <v>0</v>
      </c>
      <c r="Q3" s="3">
        <v>13.87</v>
      </c>
      <c r="R3" s="3">
        <v>1292.57</v>
      </c>
      <c r="S3" s="4">
        <v>0.121630006796</v>
      </c>
      <c r="T3" s="3"/>
      <c r="U3" s="2" t="s">
        <v>88</v>
      </c>
    </row>
    <row r="4" spans="1:21" ht="13.2">
      <c r="A4" s="2" t="s">
        <v>42</v>
      </c>
      <c r="B4" s="2" t="s">
        <v>86</v>
      </c>
      <c r="C4" s="2" t="s">
        <v>15</v>
      </c>
      <c r="D4" s="2" t="s">
        <v>51</v>
      </c>
      <c r="E4" s="2">
        <v>6</v>
      </c>
      <c r="F4" s="3">
        <v>310</v>
      </c>
      <c r="G4" s="3">
        <v>214</v>
      </c>
      <c r="H4" s="3">
        <v>165</v>
      </c>
      <c r="I4" s="3">
        <v>9</v>
      </c>
      <c r="J4" s="3">
        <v>0</v>
      </c>
      <c r="K4" s="3">
        <v>439</v>
      </c>
      <c r="L4" s="3">
        <v>0</v>
      </c>
      <c r="M4" s="3">
        <v>236</v>
      </c>
      <c r="N4" s="3">
        <v>0</v>
      </c>
      <c r="O4" s="3">
        <v>0</v>
      </c>
      <c r="P4" s="3">
        <v>0</v>
      </c>
      <c r="Q4" s="3">
        <v>14</v>
      </c>
      <c r="R4" s="3">
        <v>1387</v>
      </c>
      <c r="S4" s="4">
        <v>0.13051580914499999</v>
      </c>
      <c r="T4" s="3">
        <v>94.43</v>
      </c>
      <c r="U4" s="2" t="s">
        <v>88</v>
      </c>
    </row>
    <row r="5" spans="1:21" ht="13.2">
      <c r="A5" s="2" t="s">
        <v>42</v>
      </c>
      <c r="B5" s="2" t="s">
        <v>86</v>
      </c>
      <c r="C5" s="2" t="s">
        <v>15</v>
      </c>
      <c r="D5" s="2" t="s">
        <v>52</v>
      </c>
      <c r="E5" s="2">
        <v>7</v>
      </c>
      <c r="F5" s="3">
        <v>310</v>
      </c>
      <c r="G5" s="3">
        <v>214</v>
      </c>
      <c r="H5" s="3">
        <v>165</v>
      </c>
      <c r="I5" s="3">
        <v>9</v>
      </c>
      <c r="J5" s="3">
        <v>0</v>
      </c>
      <c r="K5" s="3">
        <v>439</v>
      </c>
      <c r="L5" s="3">
        <v>0</v>
      </c>
      <c r="M5" s="3">
        <v>236</v>
      </c>
      <c r="N5" s="3">
        <v>0</v>
      </c>
      <c r="O5" s="3">
        <v>0</v>
      </c>
      <c r="P5" s="3">
        <v>0</v>
      </c>
      <c r="Q5" s="3">
        <v>14</v>
      </c>
      <c r="R5" s="3">
        <v>1387</v>
      </c>
      <c r="S5" s="4">
        <v>0.13051580914499999</v>
      </c>
      <c r="T5" s="3">
        <v>0</v>
      </c>
      <c r="U5" s="2" t="s">
        <v>88</v>
      </c>
    </row>
    <row r="6" spans="1:21" ht="13.2">
      <c r="A6" s="2" t="s">
        <v>42</v>
      </c>
      <c r="B6" s="2" t="s">
        <v>86</v>
      </c>
      <c r="C6" s="2" t="s">
        <v>15</v>
      </c>
      <c r="D6" s="2" t="s">
        <v>53</v>
      </c>
      <c r="E6" s="2">
        <v>8</v>
      </c>
      <c r="F6" s="3">
        <v>310</v>
      </c>
      <c r="G6" s="3">
        <v>214</v>
      </c>
      <c r="H6" s="3">
        <v>165</v>
      </c>
      <c r="I6" s="3">
        <v>9</v>
      </c>
      <c r="J6" s="3">
        <v>0</v>
      </c>
      <c r="K6" s="3">
        <v>439</v>
      </c>
      <c r="L6" s="3">
        <v>0</v>
      </c>
      <c r="M6" s="3">
        <v>236</v>
      </c>
      <c r="N6" s="3">
        <v>0</v>
      </c>
      <c r="O6" s="3">
        <v>0</v>
      </c>
      <c r="P6" s="3">
        <v>0</v>
      </c>
      <c r="Q6" s="3">
        <v>14</v>
      </c>
      <c r="R6" s="3">
        <v>1387</v>
      </c>
      <c r="S6" s="4">
        <v>0.13051580914499999</v>
      </c>
      <c r="T6" s="3">
        <v>0</v>
      </c>
      <c r="U6" s="2" t="s">
        <v>88</v>
      </c>
    </row>
    <row r="7" spans="1:21" ht="13.2">
      <c r="A7" s="2" t="s">
        <v>42</v>
      </c>
      <c r="B7" s="2" t="s">
        <v>86</v>
      </c>
      <c r="C7" s="2" t="s">
        <v>15</v>
      </c>
      <c r="D7" s="2" t="s">
        <v>54</v>
      </c>
      <c r="E7" s="2">
        <v>9</v>
      </c>
      <c r="F7" s="3">
        <v>310</v>
      </c>
      <c r="G7" s="3">
        <v>49</v>
      </c>
      <c r="H7" s="3">
        <v>326</v>
      </c>
      <c r="I7" s="3">
        <v>28</v>
      </c>
      <c r="J7" s="3">
        <v>0</v>
      </c>
      <c r="K7" s="3">
        <v>434</v>
      </c>
      <c r="L7" s="3">
        <v>0</v>
      </c>
      <c r="M7" s="3">
        <v>236</v>
      </c>
      <c r="N7" s="3">
        <v>0</v>
      </c>
      <c r="O7" s="3">
        <v>0</v>
      </c>
      <c r="P7" s="3">
        <v>0</v>
      </c>
      <c r="Q7" s="3">
        <v>14</v>
      </c>
      <c r="R7" s="3">
        <v>1397</v>
      </c>
      <c r="S7" s="4">
        <v>0.131456802722</v>
      </c>
      <c r="T7" s="3">
        <v>10</v>
      </c>
      <c r="U7" s="2" t="s">
        <v>88</v>
      </c>
    </row>
    <row r="8" spans="1:21" ht="13.2">
      <c r="A8" s="2" t="s">
        <v>42</v>
      </c>
      <c r="B8" s="2" t="s">
        <v>86</v>
      </c>
      <c r="C8" s="2" t="s">
        <v>15</v>
      </c>
      <c r="D8" s="2" t="s">
        <v>55</v>
      </c>
      <c r="E8" s="2">
        <v>10</v>
      </c>
      <c r="F8" s="3">
        <v>310</v>
      </c>
      <c r="G8" s="3">
        <v>49</v>
      </c>
      <c r="H8" s="3">
        <v>330</v>
      </c>
      <c r="I8" s="3">
        <v>28</v>
      </c>
      <c r="J8" s="3">
        <v>0</v>
      </c>
      <c r="K8" s="3">
        <v>434</v>
      </c>
      <c r="L8" s="3">
        <v>0</v>
      </c>
      <c r="M8" s="3">
        <v>243</v>
      </c>
      <c r="N8" s="3">
        <v>0</v>
      </c>
      <c r="O8" s="3">
        <v>0</v>
      </c>
      <c r="P8" s="3">
        <v>0</v>
      </c>
      <c r="Q8" s="3">
        <v>14</v>
      </c>
      <c r="R8" s="3">
        <v>1408</v>
      </c>
      <c r="S8" s="4">
        <v>0.13249189565700001</v>
      </c>
      <c r="T8" s="3">
        <v>11</v>
      </c>
      <c r="U8" s="2" t="s">
        <v>88</v>
      </c>
    </row>
    <row r="9" spans="1:21" ht="13.2">
      <c r="A9" s="2" t="s">
        <v>42</v>
      </c>
      <c r="B9" s="2" t="s">
        <v>86</v>
      </c>
      <c r="C9" s="2" t="s">
        <v>15</v>
      </c>
      <c r="D9" s="2" t="s">
        <v>56</v>
      </c>
      <c r="E9" s="2">
        <v>11</v>
      </c>
      <c r="F9" s="3">
        <v>310</v>
      </c>
      <c r="G9" s="3">
        <v>49</v>
      </c>
      <c r="H9" s="3">
        <v>278</v>
      </c>
      <c r="I9" s="3">
        <v>193</v>
      </c>
      <c r="J9" s="3">
        <v>0</v>
      </c>
      <c r="K9" s="3">
        <v>439</v>
      </c>
      <c r="L9" s="3">
        <v>0</v>
      </c>
      <c r="M9" s="3">
        <v>342</v>
      </c>
      <c r="N9" s="3">
        <v>0</v>
      </c>
      <c r="O9" s="3">
        <v>0</v>
      </c>
      <c r="P9" s="3">
        <v>0</v>
      </c>
      <c r="Q9" s="3">
        <v>14</v>
      </c>
      <c r="R9" s="3">
        <v>1625</v>
      </c>
      <c r="S9" s="4">
        <v>0.15291145628</v>
      </c>
      <c r="T9" s="3">
        <v>217</v>
      </c>
      <c r="U9" s="2" t="s">
        <v>88</v>
      </c>
    </row>
    <row r="10" spans="1:21" ht="13.2">
      <c r="A10" s="2" t="s">
        <v>42</v>
      </c>
      <c r="B10" s="2" t="s">
        <v>86</v>
      </c>
      <c r="C10" s="2" t="s">
        <v>15</v>
      </c>
      <c r="D10" s="2" t="s">
        <v>57</v>
      </c>
      <c r="E10" s="2">
        <v>12</v>
      </c>
      <c r="F10" s="3">
        <v>310</v>
      </c>
      <c r="G10" s="3">
        <v>49</v>
      </c>
      <c r="H10" s="3">
        <v>304</v>
      </c>
      <c r="I10" s="3">
        <v>257</v>
      </c>
      <c r="J10" s="3">
        <v>1</v>
      </c>
      <c r="K10" s="3">
        <v>847</v>
      </c>
      <c r="L10" s="3">
        <v>96</v>
      </c>
      <c r="M10" s="3">
        <v>342</v>
      </c>
      <c r="N10" s="3">
        <v>0</v>
      </c>
      <c r="O10" s="3">
        <v>0</v>
      </c>
      <c r="P10" s="3">
        <v>0</v>
      </c>
      <c r="Q10" s="3">
        <v>14</v>
      </c>
      <c r="R10" s="3">
        <v>2220</v>
      </c>
      <c r="S10" s="4">
        <v>0.208900574118</v>
      </c>
      <c r="T10" s="3">
        <v>595</v>
      </c>
      <c r="U10" s="2" t="s">
        <v>88</v>
      </c>
    </row>
    <row r="11" spans="1:21" ht="13.2">
      <c r="A11" s="2" t="s">
        <v>42</v>
      </c>
      <c r="B11" s="2" t="s">
        <v>86</v>
      </c>
      <c r="C11" s="2" t="s">
        <v>15</v>
      </c>
      <c r="D11" s="2" t="s">
        <v>58</v>
      </c>
      <c r="E11" s="2">
        <v>13</v>
      </c>
      <c r="F11" s="3">
        <v>310</v>
      </c>
      <c r="G11" s="3">
        <v>49</v>
      </c>
      <c r="H11" s="3">
        <v>266</v>
      </c>
      <c r="I11" s="3">
        <v>250</v>
      </c>
      <c r="J11" s="3">
        <v>1</v>
      </c>
      <c r="K11" s="3">
        <v>567</v>
      </c>
      <c r="L11" s="3">
        <v>58</v>
      </c>
      <c r="M11" s="3">
        <v>342</v>
      </c>
      <c r="N11" s="3">
        <v>0</v>
      </c>
      <c r="O11" s="3">
        <v>0</v>
      </c>
      <c r="P11" s="3">
        <v>0</v>
      </c>
      <c r="Q11" s="3">
        <v>14</v>
      </c>
      <c r="R11" s="3">
        <v>1857</v>
      </c>
      <c r="S11" s="4">
        <v>0.17474250726900001</v>
      </c>
      <c r="T11" s="3">
        <v>-363</v>
      </c>
      <c r="U11" s="2" t="s">
        <v>88</v>
      </c>
    </row>
    <row r="12" spans="1:21" ht="13.2">
      <c r="A12" s="2" t="s">
        <v>42</v>
      </c>
      <c r="B12" s="2" t="s">
        <v>86</v>
      </c>
      <c r="C12" s="2" t="s">
        <v>15</v>
      </c>
      <c r="D12" s="2" t="s">
        <v>59</v>
      </c>
      <c r="E12" s="2">
        <v>14</v>
      </c>
      <c r="F12" s="3">
        <v>310</v>
      </c>
      <c r="G12" s="3">
        <v>49</v>
      </c>
      <c r="H12" s="3">
        <v>251</v>
      </c>
      <c r="I12" s="3">
        <v>312</v>
      </c>
      <c r="J12" s="3">
        <v>62</v>
      </c>
      <c r="K12" s="3">
        <v>581</v>
      </c>
      <c r="L12" s="3">
        <v>0</v>
      </c>
      <c r="M12" s="3">
        <v>349</v>
      </c>
      <c r="N12" s="3">
        <v>0</v>
      </c>
      <c r="O12" s="3">
        <v>0</v>
      </c>
      <c r="P12" s="3">
        <v>0</v>
      </c>
      <c r="Q12" s="3">
        <v>14</v>
      </c>
      <c r="R12" s="3">
        <v>1928</v>
      </c>
      <c r="S12" s="4">
        <v>0.18142356166699999</v>
      </c>
      <c r="T12" s="3">
        <v>71</v>
      </c>
      <c r="U12" s="2" t="s">
        <v>88</v>
      </c>
    </row>
    <row r="13" spans="1:21" ht="13.2">
      <c r="A13" s="2" t="s">
        <v>42</v>
      </c>
      <c r="B13" s="2" t="s">
        <v>86</v>
      </c>
      <c r="C13" s="2" t="s">
        <v>15</v>
      </c>
      <c r="D13" s="2" t="s">
        <v>60</v>
      </c>
      <c r="E13" s="2">
        <v>15</v>
      </c>
      <c r="F13" s="3">
        <v>310</v>
      </c>
      <c r="G13" s="3">
        <v>49</v>
      </c>
      <c r="H13" s="3">
        <v>251</v>
      </c>
      <c r="I13" s="3">
        <v>321</v>
      </c>
      <c r="J13" s="3">
        <v>73</v>
      </c>
      <c r="K13" s="3">
        <v>572</v>
      </c>
      <c r="L13" s="3">
        <v>0</v>
      </c>
      <c r="M13" s="3">
        <v>349</v>
      </c>
      <c r="N13" s="3">
        <v>0</v>
      </c>
      <c r="O13" s="3">
        <v>0</v>
      </c>
      <c r="P13" s="3">
        <v>0</v>
      </c>
      <c r="Q13" s="3">
        <v>14</v>
      </c>
      <c r="R13" s="3">
        <v>1939</v>
      </c>
      <c r="S13" s="4">
        <v>0.182458654602</v>
      </c>
      <c r="T13" s="3">
        <v>11</v>
      </c>
      <c r="U13" s="2" t="s">
        <v>88</v>
      </c>
    </row>
    <row r="14" spans="1:21" ht="13.2">
      <c r="A14" s="2" t="s">
        <v>42</v>
      </c>
      <c r="B14" s="2" t="s">
        <v>86</v>
      </c>
      <c r="C14" s="2" t="s">
        <v>15</v>
      </c>
      <c r="D14" s="2" t="s">
        <v>61</v>
      </c>
      <c r="E14" s="2">
        <v>16</v>
      </c>
      <c r="F14" s="3">
        <v>310</v>
      </c>
      <c r="G14" s="3">
        <v>49</v>
      </c>
      <c r="H14" s="3">
        <v>251</v>
      </c>
      <c r="I14" s="3">
        <v>314</v>
      </c>
      <c r="J14" s="3">
        <v>81</v>
      </c>
      <c r="K14" s="3">
        <v>568</v>
      </c>
      <c r="L14" s="3">
        <v>0</v>
      </c>
      <c r="M14" s="3">
        <v>336</v>
      </c>
      <c r="N14" s="3">
        <v>0</v>
      </c>
      <c r="O14" s="3">
        <v>0</v>
      </c>
      <c r="P14" s="3">
        <v>0</v>
      </c>
      <c r="Q14" s="3">
        <v>0</v>
      </c>
      <c r="R14" s="3">
        <v>1909</v>
      </c>
      <c r="S14" s="4">
        <v>0.17963567387000001</v>
      </c>
      <c r="T14" s="3">
        <v>-30</v>
      </c>
      <c r="U14" s="2" t="s">
        <v>88</v>
      </c>
    </row>
    <row r="15" spans="1:21" ht="13.2">
      <c r="A15" s="2" t="s">
        <v>42</v>
      </c>
      <c r="B15" s="2" t="s">
        <v>86</v>
      </c>
      <c r="C15" s="2" t="s">
        <v>15</v>
      </c>
      <c r="D15" s="2" t="s">
        <v>62</v>
      </c>
      <c r="E15" s="2">
        <v>17</v>
      </c>
      <c r="F15" s="3">
        <v>310</v>
      </c>
      <c r="G15" s="3">
        <v>49</v>
      </c>
      <c r="H15" s="3">
        <v>251</v>
      </c>
      <c r="I15" s="3">
        <v>328</v>
      </c>
      <c r="J15" s="3">
        <v>159</v>
      </c>
      <c r="K15" s="3">
        <v>499</v>
      </c>
      <c r="L15" s="3">
        <v>0</v>
      </c>
      <c r="M15" s="3">
        <v>336</v>
      </c>
      <c r="N15" s="3">
        <v>0</v>
      </c>
      <c r="O15" s="3">
        <v>0</v>
      </c>
      <c r="P15" s="3">
        <v>0</v>
      </c>
      <c r="Q15" s="3">
        <v>32</v>
      </c>
      <c r="R15" s="3">
        <v>1964</v>
      </c>
      <c r="S15" s="4">
        <v>0.184811138544</v>
      </c>
      <c r="T15" s="3">
        <v>55</v>
      </c>
      <c r="U15" s="2" t="s">
        <v>88</v>
      </c>
    </row>
    <row r="16" spans="1:21" ht="13.2">
      <c r="A16" s="2" t="s">
        <v>42</v>
      </c>
      <c r="B16" s="2" t="s">
        <v>86</v>
      </c>
      <c r="C16" s="2" t="s">
        <v>15</v>
      </c>
      <c r="D16" s="2" t="s">
        <v>63</v>
      </c>
      <c r="E16" s="2">
        <v>18</v>
      </c>
      <c r="F16" s="3">
        <v>310</v>
      </c>
      <c r="G16" s="3">
        <v>49</v>
      </c>
      <c r="H16" s="3">
        <v>251</v>
      </c>
      <c r="I16" s="3">
        <v>328</v>
      </c>
      <c r="J16" s="3">
        <v>161</v>
      </c>
      <c r="K16" s="3">
        <v>556</v>
      </c>
      <c r="L16" s="3">
        <v>0</v>
      </c>
      <c r="M16" s="3">
        <v>336</v>
      </c>
      <c r="N16" s="3">
        <v>0</v>
      </c>
      <c r="O16" s="3">
        <v>0</v>
      </c>
      <c r="P16" s="3">
        <v>0</v>
      </c>
      <c r="Q16" s="3">
        <v>32</v>
      </c>
      <c r="R16" s="3">
        <v>2023</v>
      </c>
      <c r="S16" s="4">
        <v>0.190363000649</v>
      </c>
      <c r="T16" s="3">
        <v>59</v>
      </c>
      <c r="U16" s="2" t="s">
        <v>88</v>
      </c>
    </row>
    <row r="17" spans="1:21" ht="13.2">
      <c r="A17" s="2" t="s">
        <v>42</v>
      </c>
      <c r="B17" s="2" t="s">
        <v>86</v>
      </c>
      <c r="C17" s="2" t="s">
        <v>15</v>
      </c>
      <c r="D17" s="2" t="s">
        <v>64</v>
      </c>
      <c r="E17" s="2">
        <v>19</v>
      </c>
      <c r="F17" s="3">
        <v>310</v>
      </c>
      <c r="G17" s="3">
        <v>49</v>
      </c>
      <c r="H17" s="3">
        <v>251</v>
      </c>
      <c r="I17" s="3">
        <v>327</v>
      </c>
      <c r="J17" s="3">
        <v>186</v>
      </c>
      <c r="K17" s="3">
        <v>556</v>
      </c>
      <c r="L17" s="3">
        <v>0</v>
      </c>
      <c r="M17" s="3">
        <v>333</v>
      </c>
      <c r="N17" s="3">
        <v>0</v>
      </c>
      <c r="O17" s="3">
        <v>0</v>
      </c>
      <c r="P17" s="3">
        <v>0</v>
      </c>
      <c r="Q17" s="3">
        <v>32</v>
      </c>
      <c r="R17" s="3">
        <v>2044</v>
      </c>
      <c r="S17" s="4">
        <v>0.19233908716100001</v>
      </c>
      <c r="T17" s="3">
        <v>21</v>
      </c>
      <c r="U17" s="2" t="s">
        <v>88</v>
      </c>
    </row>
    <row r="18" spans="1:21" ht="13.2">
      <c r="A18" s="2" t="s">
        <v>42</v>
      </c>
      <c r="B18" s="2" t="s">
        <v>86</v>
      </c>
      <c r="C18" s="2" t="s">
        <v>15</v>
      </c>
      <c r="D18" s="2" t="s">
        <v>65</v>
      </c>
      <c r="E18" s="2">
        <v>20</v>
      </c>
      <c r="F18" s="3">
        <v>310</v>
      </c>
      <c r="G18" s="3">
        <v>49</v>
      </c>
      <c r="H18" s="3">
        <v>251</v>
      </c>
      <c r="I18" s="3">
        <v>328</v>
      </c>
      <c r="J18" s="3">
        <v>220</v>
      </c>
      <c r="K18" s="3">
        <v>590</v>
      </c>
      <c r="L18" s="3">
        <v>2</v>
      </c>
      <c r="M18" s="3">
        <v>333</v>
      </c>
      <c r="N18" s="3">
        <v>0</v>
      </c>
      <c r="O18" s="3">
        <v>0</v>
      </c>
      <c r="P18" s="3">
        <v>0</v>
      </c>
      <c r="Q18" s="3">
        <v>32</v>
      </c>
      <c r="R18" s="3">
        <v>2115</v>
      </c>
      <c r="S18" s="4">
        <v>0.199020141559</v>
      </c>
      <c r="T18" s="3">
        <v>71</v>
      </c>
      <c r="U18" s="2" t="s">
        <v>88</v>
      </c>
    </row>
    <row r="19" spans="1:21" ht="13.2">
      <c r="A19" s="2" t="s">
        <v>42</v>
      </c>
      <c r="B19" s="2" t="s">
        <v>86</v>
      </c>
      <c r="C19" s="2" t="s">
        <v>15</v>
      </c>
      <c r="D19" s="2" t="s">
        <v>66</v>
      </c>
      <c r="E19" s="2">
        <v>21</v>
      </c>
      <c r="F19" s="3">
        <v>310</v>
      </c>
      <c r="G19" s="3">
        <v>49</v>
      </c>
      <c r="H19" s="3">
        <v>251</v>
      </c>
      <c r="I19" s="3">
        <v>328</v>
      </c>
      <c r="J19" s="3">
        <v>217</v>
      </c>
      <c r="K19" s="3">
        <v>615</v>
      </c>
      <c r="L19" s="3">
        <v>29</v>
      </c>
      <c r="M19" s="3">
        <v>333</v>
      </c>
      <c r="N19" s="3">
        <v>0</v>
      </c>
      <c r="O19" s="3">
        <v>0</v>
      </c>
      <c r="P19" s="3">
        <v>0</v>
      </c>
      <c r="Q19" s="3">
        <v>32</v>
      </c>
      <c r="R19" s="3">
        <v>2164</v>
      </c>
      <c r="S19" s="4">
        <v>0.20363101008699999</v>
      </c>
      <c r="T19" s="3">
        <v>49</v>
      </c>
      <c r="U19" s="2" t="s">
        <v>88</v>
      </c>
    </row>
    <row r="20" spans="1:21" ht="13.2">
      <c r="A20" s="2" t="s">
        <v>42</v>
      </c>
      <c r="B20" s="2" t="s">
        <v>86</v>
      </c>
      <c r="C20" s="2" t="s">
        <v>15</v>
      </c>
      <c r="D20" s="2" t="s">
        <v>67</v>
      </c>
      <c r="E20" s="2">
        <v>22</v>
      </c>
      <c r="F20" s="3">
        <v>310</v>
      </c>
      <c r="G20" s="3">
        <v>49</v>
      </c>
      <c r="H20" s="3">
        <v>251</v>
      </c>
      <c r="I20" s="3">
        <v>328</v>
      </c>
      <c r="J20" s="3">
        <v>241</v>
      </c>
      <c r="K20" s="3">
        <v>608</v>
      </c>
      <c r="L20" s="3">
        <v>28</v>
      </c>
      <c r="M20" s="3">
        <v>342</v>
      </c>
      <c r="N20" s="3">
        <v>0</v>
      </c>
      <c r="O20" s="3">
        <v>0</v>
      </c>
      <c r="P20" s="3">
        <v>0</v>
      </c>
      <c r="Q20" s="3">
        <v>32</v>
      </c>
      <c r="R20" s="3">
        <v>2189</v>
      </c>
      <c r="S20" s="4">
        <v>0.20598349402900001</v>
      </c>
      <c r="T20" s="3">
        <v>25</v>
      </c>
      <c r="U20" s="2" t="s">
        <v>88</v>
      </c>
    </row>
    <row r="21" spans="1:21" ht="13.2">
      <c r="A21" s="2" t="s">
        <v>42</v>
      </c>
      <c r="B21" s="2" t="s">
        <v>86</v>
      </c>
      <c r="C21" s="2" t="s">
        <v>15</v>
      </c>
      <c r="D21" s="2" t="s">
        <v>68</v>
      </c>
      <c r="E21" s="2">
        <v>23</v>
      </c>
      <c r="F21" s="3">
        <v>310</v>
      </c>
      <c r="G21" s="3">
        <v>49</v>
      </c>
      <c r="H21" s="3">
        <v>251</v>
      </c>
      <c r="I21" s="3">
        <v>328</v>
      </c>
      <c r="J21" s="3">
        <v>242</v>
      </c>
      <c r="K21" s="3">
        <v>614</v>
      </c>
      <c r="L21" s="3">
        <v>27</v>
      </c>
      <c r="M21" s="3">
        <v>348</v>
      </c>
      <c r="N21" s="3">
        <v>67</v>
      </c>
      <c r="O21" s="3">
        <v>0</v>
      </c>
      <c r="P21" s="3">
        <v>0</v>
      </c>
      <c r="Q21" s="3">
        <v>32</v>
      </c>
      <c r="R21" s="3">
        <v>2268</v>
      </c>
      <c r="S21" s="4">
        <v>0.21341734328799999</v>
      </c>
      <c r="T21" s="3">
        <v>79</v>
      </c>
      <c r="U21" s="2" t="s">
        <v>88</v>
      </c>
    </row>
    <row r="22" spans="1:21" ht="13.2">
      <c r="A22" s="2" t="s">
        <v>42</v>
      </c>
      <c r="B22" s="2" t="s">
        <v>86</v>
      </c>
      <c r="C22" s="2" t="s">
        <v>15</v>
      </c>
      <c r="D22" s="2" t="s">
        <v>69</v>
      </c>
      <c r="E22" s="2">
        <v>24</v>
      </c>
      <c r="F22" s="3">
        <v>310</v>
      </c>
      <c r="G22" s="3">
        <v>49</v>
      </c>
      <c r="H22" s="3">
        <v>251</v>
      </c>
      <c r="I22" s="3">
        <v>328</v>
      </c>
      <c r="J22" s="3">
        <v>242</v>
      </c>
      <c r="K22" s="3">
        <v>636</v>
      </c>
      <c r="L22" s="3">
        <v>37</v>
      </c>
      <c r="M22" s="3">
        <v>407</v>
      </c>
      <c r="N22" s="3">
        <v>67</v>
      </c>
      <c r="O22" s="3">
        <v>0</v>
      </c>
      <c r="P22" s="3">
        <v>0</v>
      </c>
      <c r="Q22" s="3">
        <v>32</v>
      </c>
      <c r="R22" s="3">
        <v>2359</v>
      </c>
      <c r="S22" s="4">
        <v>0.22198038483999999</v>
      </c>
      <c r="T22" s="3">
        <v>91</v>
      </c>
      <c r="U22" s="2" t="s">
        <v>88</v>
      </c>
    </row>
    <row r="23" spans="1:21" ht="13.2">
      <c r="A23" s="2" t="s">
        <v>42</v>
      </c>
      <c r="B23" s="2" t="s">
        <v>86</v>
      </c>
      <c r="C23" s="2" t="s">
        <v>15</v>
      </c>
      <c r="D23" s="2" t="s">
        <v>70</v>
      </c>
      <c r="E23" s="2">
        <v>25</v>
      </c>
      <c r="F23" s="3">
        <v>310</v>
      </c>
      <c r="G23" s="3">
        <v>49</v>
      </c>
      <c r="H23" s="3">
        <v>251</v>
      </c>
      <c r="I23" s="3">
        <v>328</v>
      </c>
      <c r="J23" s="3">
        <v>242</v>
      </c>
      <c r="K23" s="3">
        <v>636</v>
      </c>
      <c r="L23" s="3">
        <v>67</v>
      </c>
      <c r="M23" s="3">
        <v>407</v>
      </c>
      <c r="N23" s="3">
        <v>67</v>
      </c>
      <c r="O23" s="3">
        <v>0</v>
      </c>
      <c r="P23" s="3">
        <v>0</v>
      </c>
      <c r="Q23" s="3">
        <v>32</v>
      </c>
      <c r="R23" s="3">
        <v>2389</v>
      </c>
      <c r="S23" s="4">
        <v>0.22480336557200001</v>
      </c>
      <c r="T23" s="3">
        <v>30</v>
      </c>
      <c r="U23" s="2" t="s">
        <v>88</v>
      </c>
    </row>
    <row r="24" spans="1:21" ht="13.2">
      <c r="A24" s="2" t="s">
        <v>42</v>
      </c>
      <c r="B24" s="2" t="s">
        <v>86</v>
      </c>
      <c r="C24" s="2" t="s">
        <v>15</v>
      </c>
      <c r="D24" s="2" t="s">
        <v>71</v>
      </c>
      <c r="E24" s="2">
        <v>26</v>
      </c>
      <c r="F24" s="3">
        <v>310</v>
      </c>
      <c r="G24" s="3">
        <v>49</v>
      </c>
      <c r="H24" s="3">
        <v>251</v>
      </c>
      <c r="I24" s="3">
        <v>328</v>
      </c>
      <c r="J24" s="3">
        <v>242</v>
      </c>
      <c r="K24" s="3">
        <v>660</v>
      </c>
      <c r="L24" s="3">
        <v>205</v>
      </c>
      <c r="M24" s="3">
        <v>407</v>
      </c>
      <c r="N24" s="3">
        <v>67</v>
      </c>
      <c r="O24" s="3">
        <v>0</v>
      </c>
      <c r="P24" s="3">
        <v>0</v>
      </c>
      <c r="Q24" s="3">
        <v>32</v>
      </c>
      <c r="R24" s="3">
        <v>2551</v>
      </c>
      <c r="S24" s="4">
        <v>0.24004746152100001</v>
      </c>
      <c r="T24" s="3">
        <v>162</v>
      </c>
      <c r="U24" s="2" t="s">
        <v>88</v>
      </c>
    </row>
    <row r="25" spans="1:21" ht="13.2">
      <c r="A25" s="2" t="s">
        <v>42</v>
      </c>
      <c r="B25" s="2" t="s">
        <v>86</v>
      </c>
      <c r="C25" s="2" t="s">
        <v>15</v>
      </c>
      <c r="D25" s="2" t="s">
        <v>72</v>
      </c>
      <c r="E25" s="2">
        <v>27</v>
      </c>
      <c r="F25" s="3">
        <v>310</v>
      </c>
      <c r="G25" s="3">
        <v>49</v>
      </c>
      <c r="H25" s="3">
        <v>251</v>
      </c>
      <c r="I25" s="3">
        <v>328</v>
      </c>
      <c r="J25" s="3">
        <v>242</v>
      </c>
      <c r="K25" s="3">
        <v>665</v>
      </c>
      <c r="L25" s="3">
        <v>244</v>
      </c>
      <c r="M25" s="3">
        <v>344</v>
      </c>
      <c r="N25" s="3">
        <v>69</v>
      </c>
      <c r="O25" s="3">
        <v>0</v>
      </c>
      <c r="P25" s="3">
        <v>0</v>
      </c>
      <c r="Q25" s="3">
        <v>34</v>
      </c>
      <c r="R25" s="3">
        <v>2536</v>
      </c>
      <c r="S25" s="4">
        <v>0.23863597115499999</v>
      </c>
      <c r="T25" s="3">
        <v>-15</v>
      </c>
      <c r="U25" s="2" t="s">
        <v>89</v>
      </c>
    </row>
    <row r="26" spans="1:21" ht="13.2">
      <c r="A26" s="2" t="s">
        <v>42</v>
      </c>
      <c r="B26" s="2" t="s">
        <v>86</v>
      </c>
      <c r="C26" s="2" t="s">
        <v>15</v>
      </c>
      <c r="D26" s="2" t="s">
        <v>73</v>
      </c>
      <c r="E26" s="2">
        <v>28</v>
      </c>
      <c r="F26" s="3">
        <v>310</v>
      </c>
      <c r="G26" s="3">
        <v>49</v>
      </c>
      <c r="H26" s="3">
        <v>251</v>
      </c>
      <c r="I26" s="3">
        <v>328</v>
      </c>
      <c r="J26" s="3">
        <v>242</v>
      </c>
      <c r="K26" s="3">
        <v>665</v>
      </c>
      <c r="L26" s="3">
        <v>263</v>
      </c>
      <c r="M26" s="3">
        <v>353</v>
      </c>
      <c r="N26" s="3">
        <v>69</v>
      </c>
      <c r="O26" s="3">
        <v>0</v>
      </c>
      <c r="P26" s="3">
        <v>0</v>
      </c>
      <c r="Q26" s="3">
        <v>34</v>
      </c>
      <c r="R26" s="3">
        <v>2564</v>
      </c>
      <c r="S26" s="4">
        <v>0.241270753171</v>
      </c>
      <c r="T26" s="3">
        <v>28</v>
      </c>
      <c r="U26" s="2" t="s">
        <v>89</v>
      </c>
    </row>
    <row r="27" spans="1:21" ht="13.2">
      <c r="A27" s="2" t="s">
        <v>42</v>
      </c>
      <c r="B27" s="2" t="s">
        <v>86</v>
      </c>
      <c r="C27" s="2" t="s">
        <v>15</v>
      </c>
      <c r="D27" s="2" t="s">
        <v>74</v>
      </c>
      <c r="E27" s="2">
        <v>29</v>
      </c>
      <c r="F27" s="3">
        <v>310</v>
      </c>
      <c r="G27" s="3">
        <v>49</v>
      </c>
      <c r="H27" s="3">
        <v>251</v>
      </c>
      <c r="I27" s="3">
        <v>328</v>
      </c>
      <c r="J27" s="3">
        <v>242</v>
      </c>
      <c r="K27" s="3">
        <v>665</v>
      </c>
      <c r="L27" s="3">
        <v>186</v>
      </c>
      <c r="M27" s="3">
        <v>36</v>
      </c>
      <c r="N27" s="3">
        <v>29</v>
      </c>
      <c r="O27" s="3">
        <v>237</v>
      </c>
      <c r="P27" s="3">
        <v>91</v>
      </c>
      <c r="Q27" s="3">
        <v>148</v>
      </c>
      <c r="R27" s="3">
        <v>2572</v>
      </c>
      <c r="S27" s="4">
        <v>0.242023548033</v>
      </c>
      <c r="T27" s="3">
        <v>8</v>
      </c>
      <c r="U27" s="2" t="s">
        <v>89</v>
      </c>
    </row>
    <row r="28" spans="1:21" ht="13.2">
      <c r="A28" s="2" t="s">
        <v>42</v>
      </c>
      <c r="B28" s="2" t="s">
        <v>86</v>
      </c>
      <c r="C28" s="2" t="s">
        <v>15</v>
      </c>
      <c r="D28" s="2" t="s">
        <v>75</v>
      </c>
      <c r="E28" s="2">
        <v>30</v>
      </c>
      <c r="F28" s="3">
        <v>310</v>
      </c>
      <c r="G28" s="3">
        <v>49</v>
      </c>
      <c r="H28" s="3">
        <v>251</v>
      </c>
      <c r="I28" s="3">
        <v>328</v>
      </c>
      <c r="J28" s="3">
        <v>242</v>
      </c>
      <c r="K28" s="3">
        <v>665</v>
      </c>
      <c r="L28" s="3">
        <v>116.53666</v>
      </c>
      <c r="M28" s="3">
        <v>541</v>
      </c>
      <c r="N28" s="3">
        <v>69</v>
      </c>
      <c r="O28" s="3">
        <v>0</v>
      </c>
      <c r="P28" s="3">
        <v>0</v>
      </c>
      <c r="Q28" s="3">
        <v>6</v>
      </c>
      <c r="R28" s="3">
        <v>2577.5366600000002</v>
      </c>
      <c r="S28" s="4">
        <v>0.242544544182</v>
      </c>
      <c r="T28" s="3">
        <v>5.5366600000000004</v>
      </c>
      <c r="U28" s="2" t="s">
        <v>89</v>
      </c>
    </row>
    <row r="29" spans="1:21" ht="13.2">
      <c r="A29" s="2" t="s">
        <v>42</v>
      </c>
      <c r="B29" s="2" t="s">
        <v>86</v>
      </c>
      <c r="C29" s="2" t="s">
        <v>15</v>
      </c>
      <c r="D29" s="2" t="s">
        <v>76</v>
      </c>
      <c r="E29" s="2">
        <v>31</v>
      </c>
      <c r="F29" s="3">
        <v>310</v>
      </c>
      <c r="G29" s="3">
        <v>49</v>
      </c>
      <c r="H29" s="3">
        <v>251</v>
      </c>
      <c r="I29" s="3">
        <v>328</v>
      </c>
      <c r="J29" s="3">
        <v>242</v>
      </c>
      <c r="K29" s="3">
        <v>665</v>
      </c>
      <c r="L29" s="3">
        <v>118.9134</v>
      </c>
      <c r="M29" s="3">
        <v>511</v>
      </c>
      <c r="N29" s="3">
        <v>139</v>
      </c>
      <c r="O29" s="3">
        <v>0</v>
      </c>
      <c r="P29" s="3">
        <v>91</v>
      </c>
      <c r="Q29" s="3">
        <v>6</v>
      </c>
      <c r="R29" s="3">
        <v>2710.9133999999999</v>
      </c>
      <c r="S29" s="4">
        <v>0.25509520975</v>
      </c>
      <c r="T29" s="3">
        <v>133.37674000000001</v>
      </c>
      <c r="U29" s="2" t="s">
        <v>89</v>
      </c>
    </row>
    <row r="30" spans="1:21" ht="13.2">
      <c r="A30" s="2" t="s">
        <v>42</v>
      </c>
      <c r="B30" s="2" t="s">
        <v>86</v>
      </c>
      <c r="C30" s="2" t="s">
        <v>15</v>
      </c>
      <c r="D30" s="2" t="s">
        <v>77</v>
      </c>
      <c r="E30" s="2">
        <v>32</v>
      </c>
      <c r="F30" s="3">
        <v>310</v>
      </c>
      <c r="G30" s="3">
        <v>49</v>
      </c>
      <c r="H30" s="3">
        <v>251</v>
      </c>
      <c r="I30" s="3">
        <v>328</v>
      </c>
      <c r="J30" s="3">
        <v>242</v>
      </c>
      <c r="K30" s="3">
        <v>665</v>
      </c>
      <c r="L30" s="3">
        <v>118.9134</v>
      </c>
      <c r="M30" s="3">
        <v>170</v>
      </c>
      <c r="N30" s="3">
        <v>485</v>
      </c>
      <c r="O30" s="3">
        <v>167</v>
      </c>
      <c r="P30" s="3">
        <v>30</v>
      </c>
      <c r="Q30" s="3">
        <v>66</v>
      </c>
      <c r="R30" s="3">
        <v>2881.9133999999999</v>
      </c>
      <c r="S30" s="4">
        <v>0.271186199919</v>
      </c>
      <c r="T30" s="3">
        <v>171</v>
      </c>
      <c r="U30" s="2" t="s">
        <v>89</v>
      </c>
    </row>
    <row r="31" spans="1:21" ht="13.2">
      <c r="A31" s="2" t="s">
        <v>42</v>
      </c>
      <c r="B31" s="2" t="s">
        <v>86</v>
      </c>
      <c r="C31" s="2" t="s">
        <v>15</v>
      </c>
      <c r="D31" s="2" t="s">
        <v>78</v>
      </c>
      <c r="E31" s="2">
        <v>33</v>
      </c>
      <c r="F31" s="3">
        <v>310</v>
      </c>
      <c r="G31" s="3">
        <v>49</v>
      </c>
      <c r="H31" s="3">
        <v>251</v>
      </c>
      <c r="I31" s="3">
        <v>328</v>
      </c>
      <c r="J31" s="3">
        <v>242</v>
      </c>
      <c r="K31" s="3">
        <v>665</v>
      </c>
      <c r="L31" s="3">
        <v>118.9134</v>
      </c>
      <c r="M31" s="3">
        <v>96</v>
      </c>
      <c r="N31" s="3">
        <v>564</v>
      </c>
      <c r="O31" s="3">
        <v>167</v>
      </c>
      <c r="P31" s="3">
        <v>30</v>
      </c>
      <c r="Q31" s="3">
        <v>62</v>
      </c>
      <c r="R31" s="3">
        <v>2882.9133999999999</v>
      </c>
      <c r="S31" s="4">
        <v>0.271280299276</v>
      </c>
      <c r="T31" s="3">
        <v>1</v>
      </c>
      <c r="U31" s="2" t="s">
        <v>89</v>
      </c>
    </row>
    <row r="32" spans="1:21" ht="13.2">
      <c r="A32" s="2" t="s">
        <v>42</v>
      </c>
      <c r="B32" s="2" t="s">
        <v>86</v>
      </c>
      <c r="C32" s="2" t="s">
        <v>15</v>
      </c>
      <c r="D32" s="2" t="s">
        <v>79</v>
      </c>
      <c r="E32" s="2">
        <v>34</v>
      </c>
      <c r="F32" s="3">
        <v>310</v>
      </c>
      <c r="G32" s="3">
        <v>49</v>
      </c>
      <c r="H32" s="3">
        <v>251</v>
      </c>
      <c r="I32" s="3">
        <v>328</v>
      </c>
      <c r="J32" s="3">
        <v>242</v>
      </c>
      <c r="K32" s="3">
        <v>665</v>
      </c>
      <c r="L32" s="3">
        <v>118.9134</v>
      </c>
      <c r="M32" s="3">
        <v>81</v>
      </c>
      <c r="N32" s="3">
        <v>593</v>
      </c>
      <c r="O32" s="3">
        <v>167</v>
      </c>
      <c r="P32" s="3">
        <v>30</v>
      </c>
      <c r="Q32" s="3">
        <v>62</v>
      </c>
      <c r="R32" s="3">
        <v>2896.9133999999999</v>
      </c>
      <c r="S32" s="4">
        <v>0.27259769028399999</v>
      </c>
      <c r="T32" s="3">
        <v>14</v>
      </c>
      <c r="U32" s="2" t="s">
        <v>89</v>
      </c>
    </row>
    <row r="33" spans="1:21" ht="13.2">
      <c r="A33" s="2" t="s">
        <v>42</v>
      </c>
      <c r="B33" s="2" t="s">
        <v>86</v>
      </c>
      <c r="C33" s="2" t="s">
        <v>15</v>
      </c>
      <c r="D33" s="2" t="s">
        <v>80</v>
      </c>
      <c r="E33" s="2">
        <v>35</v>
      </c>
      <c r="F33" s="3">
        <v>310</v>
      </c>
      <c r="G33" s="3">
        <v>49</v>
      </c>
      <c r="H33" s="3">
        <v>251</v>
      </c>
      <c r="I33" s="3">
        <v>328</v>
      </c>
      <c r="J33" s="3">
        <v>242</v>
      </c>
      <c r="K33" s="3">
        <v>665</v>
      </c>
      <c r="L33" s="3">
        <v>118.9134</v>
      </c>
      <c r="M33" s="3">
        <v>77</v>
      </c>
      <c r="N33" s="3">
        <v>602</v>
      </c>
      <c r="O33" s="3">
        <v>167</v>
      </c>
      <c r="P33" s="3">
        <v>90</v>
      </c>
      <c r="Q33" s="3">
        <v>62</v>
      </c>
      <c r="R33" s="3">
        <v>2961.9133999999999</v>
      </c>
      <c r="S33" s="4">
        <v>0.27871414853600002</v>
      </c>
      <c r="T33" s="3">
        <v>65</v>
      </c>
      <c r="U33" s="2" t="s">
        <v>89</v>
      </c>
    </row>
    <row r="34" spans="1:21" ht="13.2">
      <c r="A34" s="2" t="s">
        <v>42</v>
      </c>
      <c r="B34" s="2" t="s">
        <v>86</v>
      </c>
      <c r="C34" s="2" t="s">
        <v>15</v>
      </c>
      <c r="D34" s="2" t="s">
        <v>81</v>
      </c>
      <c r="E34" s="2">
        <v>35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56</v>
      </c>
      <c r="O34" s="3">
        <v>53</v>
      </c>
      <c r="P34" s="3">
        <v>155</v>
      </c>
      <c r="Q34" s="3">
        <v>6</v>
      </c>
      <c r="R34" s="3">
        <v>271</v>
      </c>
      <c r="S34" s="4"/>
      <c r="T34" s="3"/>
      <c r="U34" s="2" t="s">
        <v>90</v>
      </c>
    </row>
    <row r="35" spans="1:21" ht="13.2">
      <c r="A35" s="2" t="s">
        <v>42</v>
      </c>
      <c r="B35" s="2" t="s">
        <v>86</v>
      </c>
      <c r="C35" s="2" t="s">
        <v>15</v>
      </c>
      <c r="D35" s="2" t="s">
        <v>82</v>
      </c>
      <c r="E35" s="2">
        <v>35</v>
      </c>
      <c r="F35" s="3">
        <v>310</v>
      </c>
      <c r="G35" s="3">
        <v>49</v>
      </c>
      <c r="H35" s="3">
        <v>252</v>
      </c>
      <c r="I35" s="3">
        <v>328</v>
      </c>
      <c r="J35" s="3">
        <v>242</v>
      </c>
      <c r="K35" s="3">
        <v>665</v>
      </c>
      <c r="L35" s="3">
        <v>118.9134</v>
      </c>
      <c r="M35" s="3">
        <v>77</v>
      </c>
      <c r="N35" s="3">
        <v>658</v>
      </c>
      <c r="O35" s="3">
        <v>220</v>
      </c>
      <c r="P35" s="3">
        <v>245</v>
      </c>
      <c r="Q35" s="3">
        <v>68</v>
      </c>
      <c r="R35" s="3">
        <v>3232.9133999999999</v>
      </c>
      <c r="S35" s="4">
        <v>0.30421507447500001</v>
      </c>
      <c r="T35" s="3"/>
      <c r="U35" s="2" t="s">
        <v>91</v>
      </c>
    </row>
    <row r="36" spans="1:21" ht="13.2">
      <c r="A36" s="2" t="s">
        <v>92</v>
      </c>
      <c r="B36" s="2" t="s">
        <v>93</v>
      </c>
      <c r="C36" s="2" t="s">
        <v>17</v>
      </c>
      <c r="D36" s="2" t="s">
        <v>12</v>
      </c>
      <c r="E36" s="2">
        <v>0</v>
      </c>
      <c r="F36" s="3">
        <v>1610</v>
      </c>
      <c r="G36" s="3">
        <v>1250</v>
      </c>
      <c r="H36" s="3">
        <v>1905</v>
      </c>
      <c r="I36" s="3">
        <v>5110</v>
      </c>
      <c r="J36" s="3">
        <v>1950</v>
      </c>
      <c r="K36" s="3">
        <v>2600</v>
      </c>
      <c r="L36" s="3">
        <v>1360</v>
      </c>
      <c r="M36" s="3">
        <v>1100</v>
      </c>
      <c r="N36" s="3">
        <v>2300</v>
      </c>
      <c r="O36" s="3">
        <v>1250</v>
      </c>
      <c r="P36" s="3">
        <v>2480</v>
      </c>
      <c r="Q36" s="3">
        <v>2000</v>
      </c>
      <c r="R36" s="3">
        <v>24915</v>
      </c>
      <c r="S36" s="4"/>
      <c r="T36" s="3"/>
      <c r="U36" s="2" t="s">
        <v>87</v>
      </c>
    </row>
    <row r="37" spans="1:21" ht="13.2">
      <c r="A37" s="2" t="s">
        <v>92</v>
      </c>
      <c r="B37" s="2" t="s">
        <v>93</v>
      </c>
      <c r="C37" s="2" t="s">
        <v>17</v>
      </c>
      <c r="D37" s="2" t="s">
        <v>50</v>
      </c>
      <c r="E37" s="2">
        <v>5</v>
      </c>
      <c r="F37" s="3">
        <v>1037</v>
      </c>
      <c r="G37" s="3">
        <v>380</v>
      </c>
      <c r="H37" s="3">
        <v>3471</v>
      </c>
      <c r="I37" s="3">
        <v>5838</v>
      </c>
      <c r="J37" s="3">
        <v>1359</v>
      </c>
      <c r="K37" s="3">
        <v>453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12538</v>
      </c>
      <c r="S37" s="4">
        <v>0.50323098534999999</v>
      </c>
      <c r="T37" s="3"/>
      <c r="U37" s="2" t="s">
        <v>88</v>
      </c>
    </row>
    <row r="38" spans="1:21" ht="13.2">
      <c r="A38" s="2" t="s">
        <v>92</v>
      </c>
      <c r="B38" s="2" t="s">
        <v>93</v>
      </c>
      <c r="C38" s="2" t="s">
        <v>17</v>
      </c>
      <c r="D38" s="2" t="s">
        <v>51</v>
      </c>
      <c r="E38" s="2">
        <v>6</v>
      </c>
      <c r="F38" s="3">
        <v>1013</v>
      </c>
      <c r="G38" s="3">
        <v>355</v>
      </c>
      <c r="H38" s="3">
        <v>3561</v>
      </c>
      <c r="I38" s="3">
        <v>6029</v>
      </c>
      <c r="J38" s="3">
        <v>787</v>
      </c>
      <c r="K38" s="3">
        <v>1033</v>
      </c>
      <c r="L38" s="3">
        <v>4</v>
      </c>
      <c r="M38" s="3">
        <v>4</v>
      </c>
      <c r="N38" s="3">
        <v>3</v>
      </c>
      <c r="O38" s="3">
        <v>0</v>
      </c>
      <c r="P38" s="3">
        <v>0</v>
      </c>
      <c r="Q38" s="3">
        <v>0</v>
      </c>
      <c r="R38" s="3">
        <v>12789</v>
      </c>
      <c r="S38" s="4">
        <v>0.51330523780899995</v>
      </c>
      <c r="T38" s="3">
        <v>251</v>
      </c>
      <c r="U38" s="2" t="s">
        <v>88</v>
      </c>
    </row>
    <row r="39" spans="1:21" ht="13.2">
      <c r="A39" s="2" t="s">
        <v>92</v>
      </c>
      <c r="B39" s="2" t="s">
        <v>93</v>
      </c>
      <c r="C39" s="2" t="s">
        <v>17</v>
      </c>
      <c r="D39" s="2" t="s">
        <v>52</v>
      </c>
      <c r="E39" s="2">
        <v>7</v>
      </c>
      <c r="F39" s="3">
        <v>1031</v>
      </c>
      <c r="G39" s="3">
        <v>357</v>
      </c>
      <c r="H39" s="3">
        <v>3562</v>
      </c>
      <c r="I39" s="3">
        <v>6196</v>
      </c>
      <c r="J39" s="3">
        <v>1186</v>
      </c>
      <c r="K39" s="3">
        <v>1033</v>
      </c>
      <c r="L39" s="3">
        <v>4</v>
      </c>
      <c r="M39" s="3">
        <v>4</v>
      </c>
      <c r="N39" s="3">
        <v>4</v>
      </c>
      <c r="O39" s="3">
        <v>0</v>
      </c>
      <c r="P39" s="3">
        <v>0</v>
      </c>
      <c r="Q39" s="3">
        <v>0</v>
      </c>
      <c r="R39" s="3">
        <v>13377</v>
      </c>
      <c r="S39" s="4">
        <v>0.536905478627</v>
      </c>
      <c r="T39" s="3">
        <v>588</v>
      </c>
      <c r="U39" s="2" t="s">
        <v>88</v>
      </c>
    </row>
    <row r="40" spans="1:21" ht="13.2">
      <c r="A40" s="2" t="s">
        <v>92</v>
      </c>
      <c r="B40" s="2" t="s">
        <v>93</v>
      </c>
      <c r="C40" s="2" t="s">
        <v>17</v>
      </c>
      <c r="D40" s="2" t="s">
        <v>53</v>
      </c>
      <c r="E40" s="2">
        <v>8</v>
      </c>
      <c r="F40" s="3">
        <v>1031</v>
      </c>
      <c r="G40" s="3">
        <v>356</v>
      </c>
      <c r="H40" s="3">
        <v>3614</v>
      </c>
      <c r="I40" s="3">
        <v>6282</v>
      </c>
      <c r="J40" s="3">
        <v>1186</v>
      </c>
      <c r="K40" s="3">
        <v>1545</v>
      </c>
      <c r="L40" s="3">
        <v>4</v>
      </c>
      <c r="M40" s="3">
        <v>4</v>
      </c>
      <c r="N40" s="3">
        <v>4</v>
      </c>
      <c r="O40" s="3">
        <v>0</v>
      </c>
      <c r="P40" s="3">
        <v>0</v>
      </c>
      <c r="Q40" s="3">
        <v>0</v>
      </c>
      <c r="R40" s="3">
        <v>14026</v>
      </c>
      <c r="S40" s="4">
        <v>0.56295404374900004</v>
      </c>
      <c r="T40" s="3">
        <v>649</v>
      </c>
      <c r="U40" s="2" t="s">
        <v>88</v>
      </c>
    </row>
    <row r="41" spans="1:21" ht="13.2">
      <c r="A41" s="2" t="s">
        <v>92</v>
      </c>
      <c r="B41" s="2" t="s">
        <v>93</v>
      </c>
      <c r="C41" s="2" t="s">
        <v>17</v>
      </c>
      <c r="D41" s="2" t="s">
        <v>54</v>
      </c>
      <c r="E41" s="2">
        <v>9</v>
      </c>
      <c r="F41" s="3">
        <v>1031</v>
      </c>
      <c r="G41" s="3">
        <v>356</v>
      </c>
      <c r="H41" s="3">
        <v>3616</v>
      </c>
      <c r="I41" s="3">
        <v>6329</v>
      </c>
      <c r="J41" s="3">
        <v>1192</v>
      </c>
      <c r="K41" s="3">
        <v>1545</v>
      </c>
      <c r="L41" s="3">
        <v>4</v>
      </c>
      <c r="M41" s="3">
        <v>4</v>
      </c>
      <c r="N41" s="3">
        <v>4</v>
      </c>
      <c r="O41" s="3">
        <v>0</v>
      </c>
      <c r="P41" s="3">
        <v>0</v>
      </c>
      <c r="Q41" s="3">
        <v>0</v>
      </c>
      <c r="R41" s="3">
        <v>14081</v>
      </c>
      <c r="S41" s="4">
        <v>0.565161549268</v>
      </c>
      <c r="T41" s="3">
        <v>55</v>
      </c>
      <c r="U41" s="2" t="s">
        <v>88</v>
      </c>
    </row>
    <row r="42" spans="1:21" ht="13.2">
      <c r="A42" s="2" t="s">
        <v>92</v>
      </c>
      <c r="B42" s="2" t="s">
        <v>93</v>
      </c>
      <c r="C42" s="2" t="s">
        <v>17</v>
      </c>
      <c r="D42" s="2" t="s">
        <v>55</v>
      </c>
      <c r="E42" s="2">
        <v>10</v>
      </c>
      <c r="F42" s="3">
        <v>1031</v>
      </c>
      <c r="G42" s="3">
        <v>312</v>
      </c>
      <c r="H42" s="3">
        <v>3570</v>
      </c>
      <c r="I42" s="3">
        <v>5799</v>
      </c>
      <c r="J42" s="3">
        <v>1801</v>
      </c>
      <c r="K42" s="3">
        <v>1714</v>
      </c>
      <c r="L42" s="3">
        <v>4</v>
      </c>
      <c r="M42" s="3">
        <v>4</v>
      </c>
      <c r="N42" s="3">
        <v>4</v>
      </c>
      <c r="O42" s="3">
        <v>0</v>
      </c>
      <c r="P42" s="3">
        <v>0</v>
      </c>
      <c r="Q42" s="3">
        <v>0</v>
      </c>
      <c r="R42" s="3">
        <v>14239</v>
      </c>
      <c r="S42" s="4">
        <v>0.57150311057600001</v>
      </c>
      <c r="T42" s="3">
        <v>158</v>
      </c>
      <c r="U42" s="2" t="s">
        <v>88</v>
      </c>
    </row>
    <row r="43" spans="1:21" ht="13.2">
      <c r="A43" s="2" t="s">
        <v>92</v>
      </c>
      <c r="B43" s="2" t="s">
        <v>93</v>
      </c>
      <c r="C43" s="2" t="s">
        <v>17</v>
      </c>
      <c r="D43" s="2" t="s">
        <v>56</v>
      </c>
      <c r="E43" s="2">
        <v>11</v>
      </c>
      <c r="F43" s="3">
        <v>1031</v>
      </c>
      <c r="G43" s="3">
        <v>312</v>
      </c>
      <c r="H43" s="3">
        <v>3570</v>
      </c>
      <c r="I43" s="3">
        <v>5799</v>
      </c>
      <c r="J43" s="3">
        <v>1801</v>
      </c>
      <c r="K43" s="3">
        <v>1714</v>
      </c>
      <c r="L43" s="3">
        <v>4</v>
      </c>
      <c r="M43" s="3">
        <v>4</v>
      </c>
      <c r="N43" s="3">
        <v>4</v>
      </c>
      <c r="O43" s="3">
        <v>0</v>
      </c>
      <c r="P43" s="3">
        <v>0</v>
      </c>
      <c r="Q43" s="3">
        <v>0</v>
      </c>
      <c r="R43" s="3">
        <v>14239</v>
      </c>
      <c r="S43" s="4">
        <v>0.57150311057600001</v>
      </c>
      <c r="T43" s="3">
        <v>0</v>
      </c>
      <c r="U43" s="2" t="s">
        <v>88</v>
      </c>
    </row>
    <row r="44" spans="1:21" ht="13.2">
      <c r="A44" s="2" t="s">
        <v>92</v>
      </c>
      <c r="B44" s="2" t="s">
        <v>93</v>
      </c>
      <c r="C44" s="2" t="s">
        <v>17</v>
      </c>
      <c r="D44" s="2" t="s">
        <v>57</v>
      </c>
      <c r="E44" s="2">
        <v>12</v>
      </c>
      <c r="F44" s="3">
        <v>1031</v>
      </c>
      <c r="G44" s="3">
        <v>312</v>
      </c>
      <c r="H44" s="3">
        <v>3565</v>
      </c>
      <c r="I44" s="3">
        <v>5824</v>
      </c>
      <c r="J44" s="3">
        <v>2090</v>
      </c>
      <c r="K44" s="3">
        <v>1243</v>
      </c>
      <c r="L44" s="3">
        <v>628</v>
      </c>
      <c r="M44" s="3">
        <v>4</v>
      </c>
      <c r="N44" s="3">
        <v>4</v>
      </c>
      <c r="O44" s="3">
        <v>0</v>
      </c>
      <c r="P44" s="3">
        <v>0</v>
      </c>
      <c r="Q44" s="3">
        <v>0</v>
      </c>
      <c r="R44" s="3">
        <v>14701</v>
      </c>
      <c r="S44" s="4">
        <v>0.59004615693399998</v>
      </c>
      <c r="T44" s="3">
        <v>462</v>
      </c>
      <c r="U44" s="2" t="s">
        <v>88</v>
      </c>
    </row>
    <row r="45" spans="1:21" ht="13.2">
      <c r="A45" s="2" t="s">
        <v>92</v>
      </c>
      <c r="B45" s="2" t="s">
        <v>93</v>
      </c>
      <c r="C45" s="2" t="s">
        <v>17</v>
      </c>
      <c r="D45" s="2" t="s">
        <v>58</v>
      </c>
      <c r="E45" s="2">
        <v>13</v>
      </c>
      <c r="F45" s="3">
        <v>1031</v>
      </c>
      <c r="G45" s="3">
        <v>312</v>
      </c>
      <c r="H45" s="3">
        <v>3457</v>
      </c>
      <c r="I45" s="3">
        <v>5943</v>
      </c>
      <c r="J45" s="3">
        <v>2107</v>
      </c>
      <c r="K45" s="3">
        <v>1250</v>
      </c>
      <c r="L45" s="3">
        <v>635</v>
      </c>
      <c r="M45" s="3">
        <v>4</v>
      </c>
      <c r="N45" s="3">
        <v>4</v>
      </c>
      <c r="O45" s="3">
        <v>0</v>
      </c>
      <c r="P45" s="3">
        <v>0</v>
      </c>
      <c r="Q45" s="3">
        <v>0</v>
      </c>
      <c r="R45" s="3">
        <v>14743</v>
      </c>
      <c r="S45" s="4">
        <v>0.591731888421</v>
      </c>
      <c r="T45" s="3">
        <v>42</v>
      </c>
      <c r="U45" s="2" t="s">
        <v>88</v>
      </c>
    </row>
    <row r="46" spans="1:21" ht="13.2">
      <c r="A46" s="2" t="s">
        <v>92</v>
      </c>
      <c r="B46" s="2" t="s">
        <v>93</v>
      </c>
      <c r="C46" s="2" t="s">
        <v>17</v>
      </c>
      <c r="D46" s="2" t="s">
        <v>59</v>
      </c>
      <c r="E46" s="2">
        <v>14</v>
      </c>
      <c r="F46" s="3">
        <v>1031</v>
      </c>
      <c r="G46" s="3">
        <v>312</v>
      </c>
      <c r="H46" s="3">
        <v>3238</v>
      </c>
      <c r="I46" s="3">
        <v>6154</v>
      </c>
      <c r="J46" s="3">
        <v>1518</v>
      </c>
      <c r="K46" s="3">
        <v>1866</v>
      </c>
      <c r="L46" s="3">
        <v>635</v>
      </c>
      <c r="M46" s="3">
        <v>4</v>
      </c>
      <c r="N46" s="3">
        <v>4</v>
      </c>
      <c r="O46" s="3">
        <v>0</v>
      </c>
      <c r="P46" s="3">
        <v>0</v>
      </c>
      <c r="Q46" s="3">
        <v>0</v>
      </c>
      <c r="R46" s="3">
        <v>14762</v>
      </c>
      <c r="S46" s="4">
        <v>0.59249448123600001</v>
      </c>
      <c r="T46" s="3">
        <v>19</v>
      </c>
      <c r="U46" s="2" t="s">
        <v>88</v>
      </c>
    </row>
    <row r="47" spans="1:21" ht="13.2">
      <c r="A47" s="2" t="s">
        <v>92</v>
      </c>
      <c r="B47" s="2" t="s">
        <v>93</v>
      </c>
      <c r="C47" s="2" t="s">
        <v>17</v>
      </c>
      <c r="D47" s="2" t="s">
        <v>60</v>
      </c>
      <c r="E47" s="2">
        <v>15</v>
      </c>
      <c r="F47" s="3">
        <v>1031</v>
      </c>
      <c r="G47" s="3">
        <v>312</v>
      </c>
      <c r="H47" s="3">
        <v>3234</v>
      </c>
      <c r="I47" s="3">
        <v>6154.3</v>
      </c>
      <c r="J47" s="3">
        <v>1487</v>
      </c>
      <c r="K47" s="3">
        <v>2404</v>
      </c>
      <c r="L47" s="3">
        <v>184</v>
      </c>
      <c r="M47" s="3">
        <v>4</v>
      </c>
      <c r="N47" s="3">
        <v>4</v>
      </c>
      <c r="O47" s="3">
        <v>0</v>
      </c>
      <c r="P47" s="3">
        <v>0</v>
      </c>
      <c r="Q47" s="3">
        <v>0</v>
      </c>
      <c r="R47" s="3">
        <v>14814.3</v>
      </c>
      <c r="S47" s="4">
        <v>0.59459361830199997</v>
      </c>
      <c r="T47" s="3">
        <v>52.299999999999002</v>
      </c>
      <c r="U47" s="2" t="s">
        <v>88</v>
      </c>
    </row>
    <row r="48" spans="1:21" ht="13.2">
      <c r="A48" s="2" t="s">
        <v>92</v>
      </c>
      <c r="B48" s="2" t="s">
        <v>93</v>
      </c>
      <c r="C48" s="2" t="s">
        <v>17</v>
      </c>
      <c r="D48" s="2" t="s">
        <v>61</v>
      </c>
      <c r="E48" s="2">
        <v>16</v>
      </c>
      <c r="F48" s="3">
        <v>1031</v>
      </c>
      <c r="G48" s="3">
        <v>312</v>
      </c>
      <c r="H48" s="3">
        <v>3234</v>
      </c>
      <c r="I48" s="3">
        <v>6199.3</v>
      </c>
      <c r="J48" s="3">
        <v>1491</v>
      </c>
      <c r="K48" s="3">
        <v>2414</v>
      </c>
      <c r="L48" s="3">
        <v>184</v>
      </c>
      <c r="M48" s="3">
        <v>4</v>
      </c>
      <c r="N48" s="3">
        <v>4</v>
      </c>
      <c r="O48" s="3">
        <v>0</v>
      </c>
      <c r="P48" s="3">
        <v>0</v>
      </c>
      <c r="Q48" s="3">
        <v>0</v>
      </c>
      <c r="R48" s="3">
        <v>14873.3</v>
      </c>
      <c r="S48" s="4">
        <v>0.59696166967700004</v>
      </c>
      <c r="T48" s="3">
        <v>59</v>
      </c>
      <c r="U48" s="2" t="s">
        <v>88</v>
      </c>
    </row>
    <row r="49" spans="1:21" ht="13.2">
      <c r="A49" s="2" t="s">
        <v>92</v>
      </c>
      <c r="B49" s="2" t="s">
        <v>93</v>
      </c>
      <c r="C49" s="2" t="s">
        <v>17</v>
      </c>
      <c r="D49" s="2" t="s">
        <v>62</v>
      </c>
      <c r="E49" s="2">
        <v>17</v>
      </c>
      <c r="F49" s="3">
        <v>1031</v>
      </c>
      <c r="G49" s="3">
        <v>312</v>
      </c>
      <c r="H49" s="3">
        <v>3234</v>
      </c>
      <c r="I49" s="3">
        <v>6199.3</v>
      </c>
      <c r="J49" s="3">
        <v>1491</v>
      </c>
      <c r="K49" s="3">
        <v>2414</v>
      </c>
      <c r="L49" s="3">
        <v>199</v>
      </c>
      <c r="M49" s="3">
        <v>4</v>
      </c>
      <c r="N49" s="3">
        <v>4</v>
      </c>
      <c r="O49" s="3">
        <v>0</v>
      </c>
      <c r="P49" s="3">
        <v>0</v>
      </c>
      <c r="Q49" s="3">
        <v>0</v>
      </c>
      <c r="R49" s="3">
        <v>14888.3</v>
      </c>
      <c r="S49" s="4">
        <v>0.59756371663700003</v>
      </c>
      <c r="T49" s="3">
        <v>15</v>
      </c>
      <c r="U49" s="2" t="s">
        <v>88</v>
      </c>
    </row>
    <row r="50" spans="1:21" ht="13.2">
      <c r="A50" s="2" t="s">
        <v>92</v>
      </c>
      <c r="B50" s="2" t="s">
        <v>93</v>
      </c>
      <c r="C50" s="2" t="s">
        <v>17</v>
      </c>
      <c r="D50" s="2" t="s">
        <v>63</v>
      </c>
      <c r="E50" s="2">
        <v>18</v>
      </c>
      <c r="F50" s="3">
        <v>1031</v>
      </c>
      <c r="G50" s="3">
        <v>312</v>
      </c>
      <c r="H50" s="3">
        <v>3234</v>
      </c>
      <c r="I50" s="3">
        <v>6199.3</v>
      </c>
      <c r="J50" s="3">
        <v>1491</v>
      </c>
      <c r="K50" s="3">
        <v>2414</v>
      </c>
      <c r="L50" s="3">
        <v>199</v>
      </c>
      <c r="M50" s="3">
        <v>4</v>
      </c>
      <c r="N50" s="3">
        <v>4</v>
      </c>
      <c r="O50" s="3">
        <v>0</v>
      </c>
      <c r="P50" s="3">
        <v>0</v>
      </c>
      <c r="Q50" s="3">
        <v>0</v>
      </c>
      <c r="R50" s="3">
        <v>14888.3</v>
      </c>
      <c r="S50" s="4">
        <v>0.59756371663700003</v>
      </c>
      <c r="T50" s="3">
        <v>0</v>
      </c>
      <c r="U50" s="2" t="s">
        <v>88</v>
      </c>
    </row>
    <row r="51" spans="1:21" ht="13.2">
      <c r="A51" s="2" t="s">
        <v>92</v>
      </c>
      <c r="B51" s="2" t="s">
        <v>93</v>
      </c>
      <c r="C51" s="2" t="s">
        <v>17</v>
      </c>
      <c r="D51" s="2" t="s">
        <v>64</v>
      </c>
      <c r="E51" s="2">
        <v>19</v>
      </c>
      <c r="F51" s="3">
        <v>1031</v>
      </c>
      <c r="G51" s="3">
        <v>312</v>
      </c>
      <c r="H51" s="3">
        <v>3234</v>
      </c>
      <c r="I51" s="3">
        <v>6046</v>
      </c>
      <c r="J51" s="3">
        <v>1660</v>
      </c>
      <c r="K51" s="3">
        <v>2506</v>
      </c>
      <c r="L51" s="3">
        <v>208</v>
      </c>
      <c r="M51" s="3">
        <v>4</v>
      </c>
      <c r="N51" s="3">
        <v>19</v>
      </c>
      <c r="O51" s="3">
        <v>439</v>
      </c>
      <c r="P51" s="3">
        <v>0</v>
      </c>
      <c r="Q51" s="3">
        <v>0</v>
      </c>
      <c r="R51" s="3">
        <v>15459</v>
      </c>
      <c r="S51" s="4">
        <v>0.62046959662900003</v>
      </c>
      <c r="T51" s="3">
        <v>570.70000000000095</v>
      </c>
      <c r="U51" s="2" t="s">
        <v>88</v>
      </c>
    </row>
    <row r="52" spans="1:21" ht="13.2">
      <c r="A52" s="2" t="s">
        <v>92</v>
      </c>
      <c r="B52" s="2" t="s">
        <v>93</v>
      </c>
      <c r="C52" s="2" t="s">
        <v>17</v>
      </c>
      <c r="D52" s="2" t="s">
        <v>65</v>
      </c>
      <c r="E52" s="2">
        <v>20</v>
      </c>
      <c r="F52" s="3">
        <v>1031</v>
      </c>
      <c r="G52" s="3">
        <v>312</v>
      </c>
      <c r="H52" s="3">
        <v>3234</v>
      </c>
      <c r="I52" s="3">
        <v>6046</v>
      </c>
      <c r="J52" s="3">
        <v>1660</v>
      </c>
      <c r="K52" s="3">
        <v>2506</v>
      </c>
      <c r="L52" s="3">
        <v>208</v>
      </c>
      <c r="M52" s="3">
        <v>4</v>
      </c>
      <c r="N52" s="3">
        <v>19</v>
      </c>
      <c r="O52" s="3">
        <v>439</v>
      </c>
      <c r="P52" s="3">
        <v>0</v>
      </c>
      <c r="Q52" s="3">
        <v>0</v>
      </c>
      <c r="R52" s="3">
        <v>15459</v>
      </c>
      <c r="S52" s="4">
        <v>0.62046959662900003</v>
      </c>
      <c r="T52" s="3">
        <v>0</v>
      </c>
      <c r="U52" s="2" t="s">
        <v>88</v>
      </c>
    </row>
    <row r="53" spans="1:21" ht="13.2">
      <c r="A53" s="2" t="s">
        <v>92</v>
      </c>
      <c r="B53" s="2" t="s">
        <v>93</v>
      </c>
      <c r="C53" s="2" t="s">
        <v>17</v>
      </c>
      <c r="D53" s="2" t="s">
        <v>66</v>
      </c>
      <c r="E53" s="2">
        <v>21</v>
      </c>
      <c r="F53" s="3">
        <v>1031</v>
      </c>
      <c r="G53" s="3">
        <v>312</v>
      </c>
      <c r="H53" s="3">
        <v>3234</v>
      </c>
      <c r="I53" s="3">
        <v>6046</v>
      </c>
      <c r="J53" s="3">
        <v>1750</v>
      </c>
      <c r="K53" s="3">
        <v>2555</v>
      </c>
      <c r="L53" s="3">
        <v>211</v>
      </c>
      <c r="M53" s="3">
        <v>189</v>
      </c>
      <c r="N53" s="3">
        <v>850</v>
      </c>
      <c r="O53" s="3">
        <v>439</v>
      </c>
      <c r="P53" s="3">
        <v>0</v>
      </c>
      <c r="Q53" s="3">
        <v>0</v>
      </c>
      <c r="R53" s="3">
        <v>16617</v>
      </c>
      <c r="S53" s="4">
        <v>0.66694762191500001</v>
      </c>
      <c r="T53" s="3">
        <v>1158</v>
      </c>
      <c r="U53" s="2" t="s">
        <v>88</v>
      </c>
    </row>
    <row r="54" spans="1:21" ht="13.2">
      <c r="A54" s="2" t="s">
        <v>92</v>
      </c>
      <c r="B54" s="2" t="s">
        <v>93</v>
      </c>
      <c r="C54" s="2" t="s">
        <v>17</v>
      </c>
      <c r="D54" s="2" t="s">
        <v>67</v>
      </c>
      <c r="E54" s="2">
        <v>22</v>
      </c>
      <c r="F54" s="3">
        <v>1031</v>
      </c>
      <c r="G54" s="3">
        <v>312</v>
      </c>
      <c r="H54" s="3">
        <v>3234</v>
      </c>
      <c r="I54" s="3">
        <v>6046</v>
      </c>
      <c r="J54" s="3">
        <v>1632</v>
      </c>
      <c r="K54" s="3">
        <v>2659</v>
      </c>
      <c r="L54" s="3">
        <v>413</v>
      </c>
      <c r="M54" s="3">
        <v>189</v>
      </c>
      <c r="N54" s="3">
        <v>654</v>
      </c>
      <c r="O54" s="3">
        <v>439</v>
      </c>
      <c r="P54" s="3">
        <v>0</v>
      </c>
      <c r="Q54" s="3">
        <v>2</v>
      </c>
      <c r="R54" s="3">
        <v>16611</v>
      </c>
      <c r="S54" s="4">
        <v>0.66670680313099995</v>
      </c>
      <c r="T54" s="3">
        <v>-6</v>
      </c>
      <c r="U54" s="2" t="s">
        <v>88</v>
      </c>
    </row>
    <row r="55" spans="1:21" ht="13.2">
      <c r="A55" s="2" t="s">
        <v>92</v>
      </c>
      <c r="B55" s="2" t="s">
        <v>93</v>
      </c>
      <c r="C55" s="2" t="s">
        <v>17</v>
      </c>
      <c r="D55" s="2" t="s">
        <v>68</v>
      </c>
      <c r="E55" s="2">
        <v>23</v>
      </c>
      <c r="F55" s="3">
        <v>1031</v>
      </c>
      <c r="G55" s="3">
        <v>312</v>
      </c>
      <c r="H55" s="3">
        <v>3234</v>
      </c>
      <c r="I55" s="3">
        <v>6046</v>
      </c>
      <c r="J55" s="3">
        <v>1573</v>
      </c>
      <c r="K55" s="3">
        <v>2755</v>
      </c>
      <c r="L55" s="3">
        <v>526</v>
      </c>
      <c r="M55" s="3">
        <v>489</v>
      </c>
      <c r="N55" s="3">
        <v>907</v>
      </c>
      <c r="O55" s="3">
        <v>439</v>
      </c>
      <c r="P55" s="3">
        <v>0</v>
      </c>
      <c r="Q55" s="3">
        <v>2</v>
      </c>
      <c r="R55" s="3">
        <v>17314</v>
      </c>
      <c r="S55" s="4">
        <v>0.69492273730700005</v>
      </c>
      <c r="T55" s="3">
        <v>703</v>
      </c>
      <c r="U55" s="2" t="s">
        <v>88</v>
      </c>
    </row>
    <row r="56" spans="1:21" ht="13.2">
      <c r="A56" s="2" t="s">
        <v>92</v>
      </c>
      <c r="B56" s="2" t="s">
        <v>93</v>
      </c>
      <c r="C56" s="2" t="s">
        <v>17</v>
      </c>
      <c r="D56" s="2" t="s">
        <v>69</v>
      </c>
      <c r="E56" s="2">
        <v>24</v>
      </c>
      <c r="F56" s="3">
        <v>1031</v>
      </c>
      <c r="G56" s="3">
        <v>312</v>
      </c>
      <c r="H56" s="3">
        <v>3234</v>
      </c>
      <c r="I56" s="3">
        <v>6046</v>
      </c>
      <c r="J56" s="3">
        <v>1581</v>
      </c>
      <c r="K56" s="3">
        <v>2485</v>
      </c>
      <c r="L56" s="3">
        <v>828</v>
      </c>
      <c r="M56" s="3">
        <v>489</v>
      </c>
      <c r="N56" s="3">
        <v>907</v>
      </c>
      <c r="O56" s="3">
        <v>439</v>
      </c>
      <c r="P56" s="3">
        <v>0</v>
      </c>
      <c r="Q56" s="3">
        <v>2</v>
      </c>
      <c r="R56" s="3">
        <v>17354</v>
      </c>
      <c r="S56" s="4">
        <v>0.69652819586600001</v>
      </c>
      <c r="T56" s="3">
        <v>40</v>
      </c>
      <c r="U56" s="2" t="s">
        <v>88</v>
      </c>
    </row>
    <row r="57" spans="1:21" ht="13.2">
      <c r="A57" s="2" t="s">
        <v>92</v>
      </c>
      <c r="B57" s="2" t="s">
        <v>93</v>
      </c>
      <c r="C57" s="2" t="s">
        <v>17</v>
      </c>
      <c r="D57" s="2" t="s">
        <v>70</v>
      </c>
      <c r="E57" s="2">
        <v>25</v>
      </c>
      <c r="F57" s="3">
        <v>1031</v>
      </c>
      <c r="G57" s="3">
        <v>312</v>
      </c>
      <c r="H57" s="3">
        <v>3234</v>
      </c>
      <c r="I57" s="3">
        <v>6046</v>
      </c>
      <c r="J57" s="3">
        <v>1581</v>
      </c>
      <c r="K57" s="3">
        <v>2475</v>
      </c>
      <c r="L57" s="3">
        <v>838</v>
      </c>
      <c r="M57" s="3">
        <v>502</v>
      </c>
      <c r="N57" s="3">
        <v>907</v>
      </c>
      <c r="O57" s="3">
        <v>439</v>
      </c>
      <c r="P57" s="3">
        <v>0</v>
      </c>
      <c r="Q57" s="3">
        <v>2</v>
      </c>
      <c r="R57" s="3">
        <v>17367</v>
      </c>
      <c r="S57" s="4">
        <v>0.69704996989800005</v>
      </c>
      <c r="T57" s="3">
        <v>13</v>
      </c>
      <c r="U57" s="2" t="s">
        <v>88</v>
      </c>
    </row>
    <row r="58" spans="1:21" ht="13.2">
      <c r="A58" s="2" t="s">
        <v>92</v>
      </c>
      <c r="B58" s="2" t="s">
        <v>93</v>
      </c>
      <c r="C58" s="2" t="s">
        <v>17</v>
      </c>
      <c r="D58" s="2" t="s">
        <v>71</v>
      </c>
      <c r="E58" s="2">
        <v>26</v>
      </c>
      <c r="F58" s="3">
        <v>1031</v>
      </c>
      <c r="G58" s="3">
        <v>312</v>
      </c>
      <c r="H58" s="3">
        <v>3234</v>
      </c>
      <c r="I58" s="3">
        <v>6046</v>
      </c>
      <c r="J58" s="3">
        <v>1581</v>
      </c>
      <c r="K58" s="3">
        <v>2459</v>
      </c>
      <c r="L58" s="3">
        <v>571</v>
      </c>
      <c r="M58" s="3">
        <v>776</v>
      </c>
      <c r="N58" s="3">
        <v>1486</v>
      </c>
      <c r="O58" s="3">
        <v>567</v>
      </c>
      <c r="P58" s="3">
        <v>0</v>
      </c>
      <c r="Q58" s="3">
        <v>2</v>
      </c>
      <c r="R58" s="3">
        <v>18065</v>
      </c>
      <c r="S58" s="4">
        <v>0.72506522175400001</v>
      </c>
      <c r="T58" s="3">
        <v>698</v>
      </c>
      <c r="U58" s="2" t="s">
        <v>88</v>
      </c>
    </row>
    <row r="59" spans="1:21" ht="13.2">
      <c r="A59" s="2" t="s">
        <v>92</v>
      </c>
      <c r="B59" s="2" t="s">
        <v>93</v>
      </c>
      <c r="C59" s="2" t="s">
        <v>17</v>
      </c>
      <c r="D59" s="2" t="s">
        <v>72</v>
      </c>
      <c r="E59" s="2">
        <v>27</v>
      </c>
      <c r="F59" s="3">
        <v>1031</v>
      </c>
      <c r="G59" s="3">
        <v>312</v>
      </c>
      <c r="H59" s="3">
        <v>3234</v>
      </c>
      <c r="I59" s="3">
        <v>6046</v>
      </c>
      <c r="J59" s="3">
        <v>1581</v>
      </c>
      <c r="K59" s="3">
        <v>2336</v>
      </c>
      <c r="L59" s="3">
        <v>771.00000000000398</v>
      </c>
      <c r="M59" s="3">
        <v>810</v>
      </c>
      <c r="N59" s="3">
        <v>1706</v>
      </c>
      <c r="O59" s="3">
        <v>797</v>
      </c>
      <c r="P59" s="3">
        <v>0</v>
      </c>
      <c r="Q59" s="3">
        <v>2</v>
      </c>
      <c r="R59" s="3">
        <v>18626.000000000004</v>
      </c>
      <c r="S59" s="4">
        <v>0.74758177804500003</v>
      </c>
      <c r="T59" s="3">
        <v>561.00000000000398</v>
      </c>
      <c r="U59" s="2" t="s">
        <v>89</v>
      </c>
    </row>
    <row r="60" spans="1:21" ht="13.2">
      <c r="A60" s="2" t="s">
        <v>92</v>
      </c>
      <c r="B60" s="2" t="s">
        <v>93</v>
      </c>
      <c r="C60" s="2" t="s">
        <v>17</v>
      </c>
      <c r="D60" s="2" t="s">
        <v>73</v>
      </c>
      <c r="E60" s="2">
        <v>28</v>
      </c>
      <c r="F60" s="3">
        <v>1031</v>
      </c>
      <c r="G60" s="3">
        <v>312</v>
      </c>
      <c r="H60" s="3">
        <v>3234</v>
      </c>
      <c r="I60" s="3">
        <v>6046</v>
      </c>
      <c r="J60" s="3">
        <v>1581</v>
      </c>
      <c r="K60" s="3">
        <v>2336</v>
      </c>
      <c r="L60" s="3">
        <v>647.00000000000398</v>
      </c>
      <c r="M60" s="3">
        <v>946</v>
      </c>
      <c r="N60" s="3">
        <v>1694</v>
      </c>
      <c r="O60" s="3">
        <v>718</v>
      </c>
      <c r="P60" s="3">
        <v>254</v>
      </c>
      <c r="Q60" s="3">
        <v>2</v>
      </c>
      <c r="R60" s="3">
        <v>18801.000000000004</v>
      </c>
      <c r="S60" s="4">
        <v>0.75460565924099998</v>
      </c>
      <c r="T60" s="3">
        <v>175</v>
      </c>
      <c r="U60" s="2" t="s">
        <v>89</v>
      </c>
    </row>
    <row r="61" spans="1:21" ht="13.2">
      <c r="A61" s="2" t="s">
        <v>92</v>
      </c>
      <c r="B61" s="2" t="s">
        <v>93</v>
      </c>
      <c r="C61" s="2" t="s">
        <v>17</v>
      </c>
      <c r="D61" s="2" t="s">
        <v>74</v>
      </c>
      <c r="E61" s="2">
        <v>29</v>
      </c>
      <c r="F61" s="3">
        <v>1031</v>
      </c>
      <c r="G61" s="3">
        <v>312</v>
      </c>
      <c r="H61" s="3">
        <v>3234</v>
      </c>
      <c r="I61" s="3">
        <v>6046</v>
      </c>
      <c r="J61" s="3">
        <v>1581</v>
      </c>
      <c r="K61" s="3">
        <v>2336</v>
      </c>
      <c r="L61" s="3">
        <v>647.00000000000398</v>
      </c>
      <c r="M61" s="3">
        <v>968</v>
      </c>
      <c r="N61" s="3">
        <v>1684</v>
      </c>
      <c r="O61" s="3">
        <v>938</v>
      </c>
      <c r="P61" s="3">
        <v>274</v>
      </c>
      <c r="Q61" s="3">
        <v>2</v>
      </c>
      <c r="R61" s="3">
        <v>19053.000000000004</v>
      </c>
      <c r="S61" s="4">
        <v>0.76472004816399997</v>
      </c>
      <c r="T61" s="3">
        <v>252</v>
      </c>
      <c r="U61" s="2" t="s">
        <v>89</v>
      </c>
    </row>
    <row r="62" spans="1:21" ht="13.2">
      <c r="A62" s="2" t="s">
        <v>92</v>
      </c>
      <c r="B62" s="2" t="s">
        <v>93</v>
      </c>
      <c r="C62" s="2" t="s">
        <v>17</v>
      </c>
      <c r="D62" s="2" t="s">
        <v>75</v>
      </c>
      <c r="E62" s="2">
        <v>30</v>
      </c>
      <c r="F62" s="3">
        <v>1031</v>
      </c>
      <c r="G62" s="3">
        <v>312</v>
      </c>
      <c r="H62" s="3">
        <v>3234</v>
      </c>
      <c r="I62" s="3">
        <v>6046</v>
      </c>
      <c r="J62" s="3">
        <v>1581</v>
      </c>
      <c r="K62" s="3">
        <v>2336</v>
      </c>
      <c r="L62" s="3">
        <v>760.10195499999998</v>
      </c>
      <c r="M62" s="3">
        <v>849</v>
      </c>
      <c r="N62" s="3">
        <v>1883</v>
      </c>
      <c r="O62" s="3">
        <v>1036</v>
      </c>
      <c r="P62" s="3">
        <v>383</v>
      </c>
      <c r="Q62" s="3">
        <v>2</v>
      </c>
      <c r="R62" s="3">
        <v>19453.101954999998</v>
      </c>
      <c r="S62" s="4">
        <v>0.78077872586800001</v>
      </c>
      <c r="T62" s="3">
        <v>400.10195499999497</v>
      </c>
      <c r="U62" s="2" t="s">
        <v>89</v>
      </c>
    </row>
    <row r="63" spans="1:21" ht="13.2">
      <c r="A63" s="2" t="s">
        <v>92</v>
      </c>
      <c r="B63" s="2" t="s">
        <v>93</v>
      </c>
      <c r="C63" s="2" t="s">
        <v>17</v>
      </c>
      <c r="D63" s="2" t="s">
        <v>76</v>
      </c>
      <c r="E63" s="2">
        <v>31</v>
      </c>
      <c r="F63" s="3">
        <v>1031</v>
      </c>
      <c r="G63" s="3">
        <v>312</v>
      </c>
      <c r="H63" s="3">
        <v>3234</v>
      </c>
      <c r="I63" s="3">
        <v>6046</v>
      </c>
      <c r="J63" s="3">
        <v>1581</v>
      </c>
      <c r="K63" s="3">
        <v>2336</v>
      </c>
      <c r="L63" s="3">
        <v>768.10195499999998</v>
      </c>
      <c r="M63" s="3">
        <v>903</v>
      </c>
      <c r="N63" s="3">
        <v>1890</v>
      </c>
      <c r="O63" s="3">
        <v>946</v>
      </c>
      <c r="P63" s="3">
        <v>648</v>
      </c>
      <c r="Q63" s="3">
        <v>78</v>
      </c>
      <c r="R63" s="3">
        <v>19773.101954999998</v>
      </c>
      <c r="S63" s="4">
        <v>0.79362239434100001</v>
      </c>
      <c r="T63" s="3">
        <v>320</v>
      </c>
      <c r="U63" s="2" t="s">
        <v>89</v>
      </c>
    </row>
    <row r="64" spans="1:21" ht="13.2">
      <c r="A64" s="2" t="s">
        <v>92</v>
      </c>
      <c r="B64" s="2" t="s">
        <v>93</v>
      </c>
      <c r="C64" s="2" t="s">
        <v>17</v>
      </c>
      <c r="D64" s="2" t="s">
        <v>77</v>
      </c>
      <c r="E64" s="2">
        <v>32</v>
      </c>
      <c r="F64" s="3">
        <v>1031</v>
      </c>
      <c r="G64" s="3">
        <v>312</v>
      </c>
      <c r="H64" s="3">
        <v>3234</v>
      </c>
      <c r="I64" s="3">
        <v>6046</v>
      </c>
      <c r="J64" s="3">
        <v>1581</v>
      </c>
      <c r="K64" s="3">
        <v>2336</v>
      </c>
      <c r="L64" s="3">
        <v>768.10195499999998</v>
      </c>
      <c r="M64" s="3">
        <v>895.89804500000002</v>
      </c>
      <c r="N64" s="3">
        <v>2127</v>
      </c>
      <c r="O64" s="3">
        <v>721</v>
      </c>
      <c r="P64" s="3">
        <v>648</v>
      </c>
      <c r="Q64" s="3">
        <v>78</v>
      </c>
      <c r="R64" s="3">
        <v>19778</v>
      </c>
      <c r="S64" s="4">
        <v>0.79381898454699995</v>
      </c>
      <c r="T64" s="3">
        <v>4.8980450000019999</v>
      </c>
      <c r="U64" s="2" t="s">
        <v>89</v>
      </c>
    </row>
    <row r="65" spans="1:21" ht="13.2">
      <c r="A65" s="2" t="s">
        <v>92</v>
      </c>
      <c r="B65" s="2" t="s">
        <v>93</v>
      </c>
      <c r="C65" s="2" t="s">
        <v>17</v>
      </c>
      <c r="D65" s="2" t="s">
        <v>78</v>
      </c>
      <c r="E65" s="2">
        <v>33</v>
      </c>
      <c r="F65" s="3">
        <v>1031</v>
      </c>
      <c r="G65" s="3">
        <v>312</v>
      </c>
      <c r="H65" s="3">
        <v>3234</v>
      </c>
      <c r="I65" s="3">
        <v>6046</v>
      </c>
      <c r="J65" s="3">
        <v>1581</v>
      </c>
      <c r="K65" s="3">
        <v>2336</v>
      </c>
      <c r="L65" s="3">
        <v>768.10195499999998</v>
      </c>
      <c r="M65" s="3">
        <v>866.89804500000002</v>
      </c>
      <c r="N65" s="3">
        <v>2167</v>
      </c>
      <c r="O65" s="3">
        <v>741</v>
      </c>
      <c r="P65" s="3">
        <v>648</v>
      </c>
      <c r="Q65" s="3">
        <v>78</v>
      </c>
      <c r="R65" s="3">
        <v>19809</v>
      </c>
      <c r="S65" s="4">
        <v>0.79506321493099996</v>
      </c>
      <c r="T65" s="3">
        <v>31</v>
      </c>
      <c r="U65" s="2" t="s">
        <v>89</v>
      </c>
    </row>
    <row r="66" spans="1:21" ht="13.2">
      <c r="A66" s="2" t="s">
        <v>92</v>
      </c>
      <c r="B66" s="2" t="s">
        <v>93</v>
      </c>
      <c r="C66" s="2" t="s">
        <v>17</v>
      </c>
      <c r="D66" s="2" t="s">
        <v>79</v>
      </c>
      <c r="E66" s="2">
        <v>34</v>
      </c>
      <c r="F66" s="3">
        <v>1031</v>
      </c>
      <c r="G66" s="3">
        <v>312</v>
      </c>
      <c r="H66" s="3">
        <v>3234</v>
      </c>
      <c r="I66" s="3">
        <v>6046</v>
      </c>
      <c r="J66" s="3">
        <v>1581</v>
      </c>
      <c r="K66" s="3">
        <v>2336</v>
      </c>
      <c r="L66" s="3">
        <v>768.10195499999998</v>
      </c>
      <c r="M66" s="3">
        <v>587.89804500000002</v>
      </c>
      <c r="N66" s="3">
        <v>2439</v>
      </c>
      <c r="O66" s="3">
        <v>874</v>
      </c>
      <c r="P66" s="3">
        <v>735</v>
      </c>
      <c r="Q66" s="3">
        <v>78</v>
      </c>
      <c r="R66" s="3">
        <v>20022</v>
      </c>
      <c r="S66" s="4">
        <v>0.80361228175800004</v>
      </c>
      <c r="T66" s="3">
        <v>213</v>
      </c>
      <c r="U66" s="2" t="s">
        <v>89</v>
      </c>
    </row>
    <row r="67" spans="1:21" ht="13.2">
      <c r="A67" s="2" t="s">
        <v>92</v>
      </c>
      <c r="B67" s="2" t="s">
        <v>93</v>
      </c>
      <c r="C67" s="2" t="s">
        <v>17</v>
      </c>
      <c r="D67" s="2" t="s">
        <v>80</v>
      </c>
      <c r="E67" s="2">
        <v>35</v>
      </c>
      <c r="F67" s="3">
        <v>1031</v>
      </c>
      <c r="G67" s="3">
        <v>312</v>
      </c>
      <c r="H67" s="3">
        <v>3234</v>
      </c>
      <c r="I67" s="3">
        <v>6046</v>
      </c>
      <c r="J67" s="3">
        <v>1581</v>
      </c>
      <c r="K67" s="3">
        <v>2336</v>
      </c>
      <c r="L67" s="3">
        <v>768.10195499999998</v>
      </c>
      <c r="M67" s="3">
        <v>585.89804500000002</v>
      </c>
      <c r="N67" s="3">
        <v>2456</v>
      </c>
      <c r="O67" s="3">
        <v>903</v>
      </c>
      <c r="P67" s="3">
        <v>735</v>
      </c>
      <c r="Q67" s="3">
        <v>78</v>
      </c>
      <c r="R67" s="3">
        <v>20066</v>
      </c>
      <c r="S67" s="4">
        <v>0.805378286173</v>
      </c>
      <c r="T67" s="3">
        <v>44</v>
      </c>
      <c r="U67" s="2" t="s">
        <v>89</v>
      </c>
    </row>
    <row r="68" spans="1:21" ht="13.2">
      <c r="A68" s="2" t="s">
        <v>92</v>
      </c>
      <c r="B68" s="2" t="s">
        <v>93</v>
      </c>
      <c r="C68" s="2" t="s">
        <v>17</v>
      </c>
      <c r="D68" s="2" t="s">
        <v>81</v>
      </c>
      <c r="E68" s="2">
        <v>35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5</v>
      </c>
      <c r="N68" s="3">
        <v>15</v>
      </c>
      <c r="O68" s="3">
        <v>40</v>
      </c>
      <c r="P68" s="3">
        <v>223</v>
      </c>
      <c r="Q68" s="3">
        <v>510</v>
      </c>
      <c r="R68" s="3">
        <v>793</v>
      </c>
      <c r="S68" s="4"/>
      <c r="T68" s="3"/>
      <c r="U68" s="2" t="s">
        <v>90</v>
      </c>
    </row>
    <row r="69" spans="1:21" ht="13.2">
      <c r="A69" s="2" t="s">
        <v>92</v>
      </c>
      <c r="B69" s="2" t="s">
        <v>93</v>
      </c>
      <c r="C69" s="2" t="s">
        <v>17</v>
      </c>
      <c r="D69" s="2" t="s">
        <v>82</v>
      </c>
      <c r="E69" s="2">
        <v>35</v>
      </c>
      <c r="F69" s="3">
        <v>1031</v>
      </c>
      <c r="G69" s="3">
        <v>312</v>
      </c>
      <c r="H69" s="3">
        <v>3234</v>
      </c>
      <c r="I69" s="3">
        <v>6046</v>
      </c>
      <c r="J69" s="3">
        <v>1581</v>
      </c>
      <c r="K69" s="3">
        <v>2336</v>
      </c>
      <c r="L69" s="3">
        <v>768.10195499999998</v>
      </c>
      <c r="M69" s="3">
        <v>590.89804500000002</v>
      </c>
      <c r="N69" s="3">
        <v>2471</v>
      </c>
      <c r="O69" s="3">
        <v>943</v>
      </c>
      <c r="P69" s="3">
        <v>958</v>
      </c>
      <c r="Q69" s="3">
        <v>588</v>
      </c>
      <c r="R69" s="3">
        <v>20859</v>
      </c>
      <c r="S69" s="4">
        <v>0.83720650210699998</v>
      </c>
      <c r="T69" s="3"/>
      <c r="U69" s="2" t="s">
        <v>91</v>
      </c>
    </row>
    <row r="70" spans="1:21" ht="13.2">
      <c r="A70" s="2" t="s">
        <v>94</v>
      </c>
      <c r="B70" s="2" t="s">
        <v>95</v>
      </c>
      <c r="C70" s="2" t="s">
        <v>17</v>
      </c>
      <c r="D70" s="2" t="s">
        <v>12</v>
      </c>
      <c r="E70" s="2">
        <v>0</v>
      </c>
      <c r="F70" s="3">
        <v>1200</v>
      </c>
      <c r="G70" s="3">
        <v>1350</v>
      </c>
      <c r="H70" s="3">
        <v>1550</v>
      </c>
      <c r="I70" s="3">
        <v>1650</v>
      </c>
      <c r="J70" s="3">
        <v>1750</v>
      </c>
      <c r="K70" s="3">
        <v>1350</v>
      </c>
      <c r="L70" s="3">
        <v>1100</v>
      </c>
      <c r="M70" s="3">
        <v>200</v>
      </c>
      <c r="N70" s="3">
        <v>1700</v>
      </c>
      <c r="O70" s="3">
        <v>1750</v>
      </c>
      <c r="P70" s="3">
        <v>700</v>
      </c>
      <c r="Q70" s="3">
        <v>200</v>
      </c>
      <c r="R70" s="3">
        <v>14500</v>
      </c>
      <c r="S70" s="4"/>
      <c r="T70" s="3"/>
      <c r="U70" s="2" t="s">
        <v>87</v>
      </c>
    </row>
    <row r="71" spans="1:21" ht="13.2">
      <c r="A71" s="2" t="s">
        <v>94</v>
      </c>
      <c r="B71" s="2" t="s">
        <v>95</v>
      </c>
      <c r="C71" s="2" t="s">
        <v>17</v>
      </c>
      <c r="D71" s="2" t="s">
        <v>50</v>
      </c>
      <c r="E71" s="2">
        <v>5</v>
      </c>
      <c r="F71" s="3">
        <v>641</v>
      </c>
      <c r="G71" s="3">
        <v>1555</v>
      </c>
      <c r="H71" s="3">
        <v>788</v>
      </c>
      <c r="I71" s="3">
        <v>1676</v>
      </c>
      <c r="J71" s="3">
        <v>761</v>
      </c>
      <c r="K71" s="3">
        <v>61</v>
      </c>
      <c r="L71" s="3">
        <v>301</v>
      </c>
      <c r="M71" s="3">
        <v>0</v>
      </c>
      <c r="N71" s="3">
        <v>0</v>
      </c>
      <c r="O71" s="3">
        <v>0</v>
      </c>
      <c r="P71" s="3">
        <v>0</v>
      </c>
      <c r="Q71" s="3">
        <v>133</v>
      </c>
      <c r="R71" s="3">
        <v>5916</v>
      </c>
      <c r="S71" s="4">
        <v>0.40799999999999997</v>
      </c>
      <c r="T71" s="3"/>
      <c r="U71" s="2" t="s">
        <v>88</v>
      </c>
    </row>
    <row r="72" spans="1:21" ht="13.2">
      <c r="A72" s="2" t="s">
        <v>94</v>
      </c>
      <c r="B72" s="2" t="s">
        <v>95</v>
      </c>
      <c r="C72" s="2" t="s">
        <v>17</v>
      </c>
      <c r="D72" s="2" t="s">
        <v>51</v>
      </c>
      <c r="E72" s="2">
        <v>6</v>
      </c>
      <c r="F72" s="3">
        <v>624</v>
      </c>
      <c r="G72" s="3">
        <v>1559</v>
      </c>
      <c r="H72" s="3">
        <v>788</v>
      </c>
      <c r="I72" s="3">
        <v>1594</v>
      </c>
      <c r="J72" s="3">
        <v>857</v>
      </c>
      <c r="K72" s="3">
        <v>61</v>
      </c>
      <c r="L72" s="3">
        <v>301</v>
      </c>
      <c r="M72" s="3">
        <v>0</v>
      </c>
      <c r="N72" s="3">
        <v>0</v>
      </c>
      <c r="O72" s="3">
        <v>0</v>
      </c>
      <c r="P72" s="3">
        <v>0</v>
      </c>
      <c r="Q72" s="3">
        <v>133</v>
      </c>
      <c r="R72" s="3">
        <v>5917</v>
      </c>
      <c r="S72" s="4">
        <v>0.408068965517</v>
      </c>
      <c r="T72" s="3">
        <v>1</v>
      </c>
      <c r="U72" s="2" t="s">
        <v>88</v>
      </c>
    </row>
    <row r="73" spans="1:21" ht="13.2">
      <c r="A73" s="2" t="s">
        <v>94</v>
      </c>
      <c r="B73" s="2" t="s">
        <v>95</v>
      </c>
      <c r="C73" s="2" t="s">
        <v>17</v>
      </c>
      <c r="D73" s="2" t="s">
        <v>52</v>
      </c>
      <c r="E73" s="2">
        <v>7</v>
      </c>
      <c r="F73" s="3">
        <v>524</v>
      </c>
      <c r="G73" s="3">
        <v>575</v>
      </c>
      <c r="H73" s="3">
        <v>1685</v>
      </c>
      <c r="I73" s="3">
        <v>1585</v>
      </c>
      <c r="J73" s="3">
        <v>1210</v>
      </c>
      <c r="K73" s="3">
        <v>60</v>
      </c>
      <c r="L73" s="3">
        <v>290</v>
      </c>
      <c r="M73" s="3">
        <v>0</v>
      </c>
      <c r="N73" s="3">
        <v>0</v>
      </c>
      <c r="O73" s="3">
        <v>0</v>
      </c>
      <c r="P73" s="3">
        <v>0</v>
      </c>
      <c r="Q73" s="3">
        <v>130</v>
      </c>
      <c r="R73" s="3">
        <v>6059</v>
      </c>
      <c r="S73" s="4">
        <v>0.41786206896599998</v>
      </c>
      <c r="T73" s="3">
        <v>142</v>
      </c>
      <c r="U73" s="2" t="s">
        <v>88</v>
      </c>
    </row>
    <row r="74" spans="1:21" ht="13.2">
      <c r="A74" s="2" t="s">
        <v>94</v>
      </c>
      <c r="B74" s="2" t="s">
        <v>95</v>
      </c>
      <c r="C74" s="2" t="s">
        <v>17</v>
      </c>
      <c r="D74" s="2" t="s">
        <v>53</v>
      </c>
      <c r="E74" s="2">
        <v>8</v>
      </c>
      <c r="F74" s="3">
        <v>524</v>
      </c>
      <c r="G74" s="3">
        <v>620</v>
      </c>
      <c r="H74" s="3">
        <v>1640</v>
      </c>
      <c r="I74" s="3">
        <v>1755</v>
      </c>
      <c r="J74" s="3">
        <v>995</v>
      </c>
      <c r="K74" s="3">
        <v>60</v>
      </c>
      <c r="L74" s="3">
        <v>290</v>
      </c>
      <c r="M74" s="3">
        <v>0</v>
      </c>
      <c r="N74" s="3">
        <v>0</v>
      </c>
      <c r="O74" s="3">
        <v>0</v>
      </c>
      <c r="P74" s="3">
        <v>0</v>
      </c>
      <c r="Q74" s="3">
        <v>130</v>
      </c>
      <c r="R74" s="3">
        <v>6014</v>
      </c>
      <c r="S74" s="4">
        <v>0.41475862069000002</v>
      </c>
      <c r="T74" s="3">
        <v>-45</v>
      </c>
      <c r="U74" s="2" t="s">
        <v>88</v>
      </c>
    </row>
    <row r="75" spans="1:21" ht="13.2">
      <c r="A75" s="2" t="s">
        <v>94</v>
      </c>
      <c r="B75" s="2" t="s">
        <v>95</v>
      </c>
      <c r="C75" s="2" t="s">
        <v>17</v>
      </c>
      <c r="D75" s="2" t="s">
        <v>54</v>
      </c>
      <c r="E75" s="2">
        <v>9</v>
      </c>
      <c r="F75" s="3">
        <v>524</v>
      </c>
      <c r="G75" s="3">
        <v>701</v>
      </c>
      <c r="H75" s="3">
        <v>1640</v>
      </c>
      <c r="I75" s="3">
        <v>1755</v>
      </c>
      <c r="J75" s="3">
        <v>995</v>
      </c>
      <c r="K75" s="3">
        <v>60</v>
      </c>
      <c r="L75" s="3">
        <v>290</v>
      </c>
      <c r="M75" s="3">
        <v>0</v>
      </c>
      <c r="N75" s="3">
        <v>0</v>
      </c>
      <c r="O75" s="3">
        <v>0</v>
      </c>
      <c r="P75" s="3">
        <v>0</v>
      </c>
      <c r="Q75" s="3">
        <v>130</v>
      </c>
      <c r="R75" s="3">
        <v>6095</v>
      </c>
      <c r="S75" s="4">
        <v>0.420344827586</v>
      </c>
      <c r="T75" s="3">
        <v>81</v>
      </c>
      <c r="U75" s="2" t="s">
        <v>88</v>
      </c>
    </row>
    <row r="76" spans="1:21" ht="13.2">
      <c r="A76" s="2" t="s">
        <v>94</v>
      </c>
      <c r="B76" s="2" t="s">
        <v>95</v>
      </c>
      <c r="C76" s="2" t="s">
        <v>17</v>
      </c>
      <c r="D76" s="2" t="s">
        <v>55</v>
      </c>
      <c r="E76" s="2">
        <v>10</v>
      </c>
      <c r="F76" s="3">
        <v>524</v>
      </c>
      <c r="G76" s="3">
        <v>707</v>
      </c>
      <c r="H76" s="3">
        <v>1170</v>
      </c>
      <c r="I76" s="3">
        <v>2115</v>
      </c>
      <c r="J76" s="3">
        <v>1035</v>
      </c>
      <c r="K76" s="3">
        <v>410</v>
      </c>
      <c r="L76" s="3">
        <v>290</v>
      </c>
      <c r="M76" s="3">
        <v>0</v>
      </c>
      <c r="N76" s="3">
        <v>60</v>
      </c>
      <c r="O76" s="3">
        <v>0</v>
      </c>
      <c r="P76" s="3">
        <v>0</v>
      </c>
      <c r="Q76" s="3">
        <v>130</v>
      </c>
      <c r="R76" s="3">
        <v>6441</v>
      </c>
      <c r="S76" s="4">
        <v>0.44420689655200002</v>
      </c>
      <c r="T76" s="3">
        <v>346</v>
      </c>
      <c r="U76" s="2" t="s">
        <v>88</v>
      </c>
    </row>
    <row r="77" spans="1:21" ht="13.2">
      <c r="A77" s="2" t="s">
        <v>94</v>
      </c>
      <c r="B77" s="2" t="s">
        <v>95</v>
      </c>
      <c r="C77" s="2" t="s">
        <v>17</v>
      </c>
      <c r="D77" s="2" t="s">
        <v>56</v>
      </c>
      <c r="E77" s="2">
        <v>11</v>
      </c>
      <c r="F77" s="3">
        <v>524</v>
      </c>
      <c r="G77" s="3">
        <v>677</v>
      </c>
      <c r="H77" s="3">
        <v>1160</v>
      </c>
      <c r="I77" s="3">
        <v>1990</v>
      </c>
      <c r="J77" s="3">
        <v>1145</v>
      </c>
      <c r="K77" s="3">
        <v>590</v>
      </c>
      <c r="L77" s="3">
        <v>300</v>
      </c>
      <c r="M77" s="3">
        <v>0</v>
      </c>
      <c r="N77" s="3">
        <v>60</v>
      </c>
      <c r="O77" s="3">
        <v>0</v>
      </c>
      <c r="P77" s="3">
        <v>0</v>
      </c>
      <c r="Q77" s="3">
        <v>130</v>
      </c>
      <c r="R77" s="3">
        <v>6576</v>
      </c>
      <c r="S77" s="4">
        <v>0.45351724137900001</v>
      </c>
      <c r="T77" s="3">
        <v>135</v>
      </c>
      <c r="U77" s="2" t="s">
        <v>88</v>
      </c>
    </row>
    <row r="78" spans="1:21" ht="13.2">
      <c r="A78" s="2" t="s">
        <v>94</v>
      </c>
      <c r="B78" s="2" t="s">
        <v>95</v>
      </c>
      <c r="C78" s="2" t="s">
        <v>17</v>
      </c>
      <c r="D78" s="2" t="s">
        <v>57</v>
      </c>
      <c r="E78" s="2">
        <v>12</v>
      </c>
      <c r="F78" s="3">
        <v>524</v>
      </c>
      <c r="G78" s="3">
        <v>677</v>
      </c>
      <c r="H78" s="3">
        <v>1230</v>
      </c>
      <c r="I78" s="3">
        <v>1975</v>
      </c>
      <c r="J78" s="3">
        <v>1370</v>
      </c>
      <c r="K78" s="3">
        <v>395</v>
      </c>
      <c r="L78" s="3">
        <v>495</v>
      </c>
      <c r="M78" s="3">
        <v>0</v>
      </c>
      <c r="N78" s="3">
        <v>60</v>
      </c>
      <c r="O78" s="3">
        <v>0</v>
      </c>
      <c r="P78" s="3">
        <v>0</v>
      </c>
      <c r="Q78" s="3">
        <v>130</v>
      </c>
      <c r="R78" s="3">
        <v>6856</v>
      </c>
      <c r="S78" s="4">
        <v>0.47282758620699999</v>
      </c>
      <c r="T78" s="3">
        <v>280</v>
      </c>
      <c r="U78" s="2" t="s">
        <v>88</v>
      </c>
    </row>
    <row r="79" spans="1:21" ht="13.2">
      <c r="A79" s="2" t="s">
        <v>94</v>
      </c>
      <c r="B79" s="2" t="s">
        <v>95</v>
      </c>
      <c r="C79" s="2" t="s">
        <v>17</v>
      </c>
      <c r="D79" s="2" t="s">
        <v>58</v>
      </c>
      <c r="E79" s="2">
        <v>13</v>
      </c>
      <c r="F79" s="3">
        <v>524</v>
      </c>
      <c r="G79" s="3">
        <v>677</v>
      </c>
      <c r="H79" s="3">
        <v>1070</v>
      </c>
      <c r="I79" s="3">
        <v>1905</v>
      </c>
      <c r="J79" s="3">
        <v>1210</v>
      </c>
      <c r="K79" s="3">
        <v>605</v>
      </c>
      <c r="L79" s="3">
        <v>1150</v>
      </c>
      <c r="M79" s="3">
        <v>0</v>
      </c>
      <c r="N79" s="3">
        <v>60</v>
      </c>
      <c r="O79" s="3">
        <v>0</v>
      </c>
      <c r="P79" s="3">
        <v>0</v>
      </c>
      <c r="Q79" s="3">
        <v>130</v>
      </c>
      <c r="R79" s="3">
        <v>7331</v>
      </c>
      <c r="S79" s="4">
        <v>0.50558620689699996</v>
      </c>
      <c r="T79" s="3">
        <v>475</v>
      </c>
      <c r="U79" s="2" t="s">
        <v>88</v>
      </c>
    </row>
    <row r="80" spans="1:21" ht="13.2">
      <c r="A80" s="2" t="s">
        <v>94</v>
      </c>
      <c r="B80" s="2" t="s">
        <v>95</v>
      </c>
      <c r="C80" s="2" t="s">
        <v>17</v>
      </c>
      <c r="D80" s="2" t="s">
        <v>59</v>
      </c>
      <c r="E80" s="2">
        <v>14</v>
      </c>
      <c r="F80" s="3">
        <v>524</v>
      </c>
      <c r="G80" s="3">
        <v>677</v>
      </c>
      <c r="H80" s="3">
        <v>1167</v>
      </c>
      <c r="I80" s="3">
        <v>1565</v>
      </c>
      <c r="J80" s="3">
        <v>1550</v>
      </c>
      <c r="K80" s="3">
        <v>625</v>
      </c>
      <c r="L80" s="3">
        <v>945</v>
      </c>
      <c r="M80" s="3">
        <v>195</v>
      </c>
      <c r="N80" s="3">
        <v>60</v>
      </c>
      <c r="O80" s="3">
        <v>0</v>
      </c>
      <c r="P80" s="3">
        <v>0</v>
      </c>
      <c r="Q80" s="3">
        <v>130</v>
      </c>
      <c r="R80" s="3">
        <v>7438</v>
      </c>
      <c r="S80" s="4">
        <v>0.51296551724100004</v>
      </c>
      <c r="T80" s="3">
        <v>107</v>
      </c>
      <c r="U80" s="2" t="s">
        <v>88</v>
      </c>
    </row>
    <row r="81" spans="1:21" ht="13.2">
      <c r="A81" s="2" t="s">
        <v>94</v>
      </c>
      <c r="B81" s="2" t="s">
        <v>95</v>
      </c>
      <c r="C81" s="2" t="s">
        <v>17</v>
      </c>
      <c r="D81" s="2" t="s">
        <v>60</v>
      </c>
      <c r="E81" s="2">
        <v>15</v>
      </c>
      <c r="F81" s="3">
        <v>524</v>
      </c>
      <c r="G81" s="3">
        <v>677</v>
      </c>
      <c r="H81" s="3">
        <v>1167</v>
      </c>
      <c r="I81" s="3">
        <v>1555</v>
      </c>
      <c r="J81" s="3">
        <v>1550</v>
      </c>
      <c r="K81" s="3">
        <v>335</v>
      </c>
      <c r="L81" s="3">
        <v>1310</v>
      </c>
      <c r="M81" s="3">
        <v>195</v>
      </c>
      <c r="N81" s="3">
        <v>60</v>
      </c>
      <c r="O81" s="3">
        <v>0</v>
      </c>
      <c r="P81" s="3">
        <v>0</v>
      </c>
      <c r="Q81" s="3">
        <v>130</v>
      </c>
      <c r="R81" s="3">
        <v>7503</v>
      </c>
      <c r="S81" s="4">
        <v>0.51744827586200004</v>
      </c>
      <c r="T81" s="3">
        <v>65</v>
      </c>
      <c r="U81" s="2" t="s">
        <v>88</v>
      </c>
    </row>
    <row r="82" spans="1:21" ht="13.2">
      <c r="A82" s="2" t="s">
        <v>94</v>
      </c>
      <c r="B82" s="2" t="s">
        <v>95</v>
      </c>
      <c r="C82" s="2" t="s">
        <v>17</v>
      </c>
      <c r="D82" s="2" t="s">
        <v>61</v>
      </c>
      <c r="E82" s="2">
        <v>16</v>
      </c>
      <c r="F82" s="3">
        <v>524</v>
      </c>
      <c r="G82" s="3">
        <v>677</v>
      </c>
      <c r="H82" s="3">
        <v>1167</v>
      </c>
      <c r="I82" s="3">
        <v>1555</v>
      </c>
      <c r="J82" s="3">
        <v>1535</v>
      </c>
      <c r="K82" s="3">
        <v>345</v>
      </c>
      <c r="L82" s="3">
        <v>1620</v>
      </c>
      <c r="M82" s="3">
        <v>195</v>
      </c>
      <c r="N82" s="3">
        <v>60</v>
      </c>
      <c r="O82" s="3">
        <v>0</v>
      </c>
      <c r="P82" s="3">
        <v>0</v>
      </c>
      <c r="Q82" s="3">
        <v>130</v>
      </c>
      <c r="R82" s="3">
        <v>7808</v>
      </c>
      <c r="S82" s="4">
        <v>0.53848275862100003</v>
      </c>
      <c r="T82" s="3">
        <v>305</v>
      </c>
      <c r="U82" s="2" t="s">
        <v>88</v>
      </c>
    </row>
    <row r="83" spans="1:21" ht="13.2">
      <c r="A83" s="2" t="s">
        <v>94</v>
      </c>
      <c r="B83" s="2" t="s">
        <v>95</v>
      </c>
      <c r="C83" s="2" t="s">
        <v>17</v>
      </c>
      <c r="D83" s="2" t="s">
        <v>62</v>
      </c>
      <c r="E83" s="2">
        <v>17</v>
      </c>
      <c r="F83" s="3">
        <v>524</v>
      </c>
      <c r="G83" s="3">
        <v>677</v>
      </c>
      <c r="H83" s="3">
        <v>1167</v>
      </c>
      <c r="I83" s="3">
        <v>1555</v>
      </c>
      <c r="J83" s="3">
        <v>1405</v>
      </c>
      <c r="K83" s="3">
        <v>475</v>
      </c>
      <c r="L83" s="3">
        <v>1680</v>
      </c>
      <c r="M83" s="3">
        <v>195</v>
      </c>
      <c r="N83" s="3">
        <v>0</v>
      </c>
      <c r="O83" s="3">
        <v>20</v>
      </c>
      <c r="P83" s="3">
        <v>0</v>
      </c>
      <c r="Q83" s="3">
        <v>130</v>
      </c>
      <c r="R83" s="3">
        <v>7828</v>
      </c>
      <c r="S83" s="4">
        <v>0.53986206896599997</v>
      </c>
      <c r="T83" s="3">
        <v>20</v>
      </c>
      <c r="U83" s="2" t="s">
        <v>88</v>
      </c>
    </row>
    <row r="84" spans="1:21" ht="13.2">
      <c r="A84" s="2" t="s">
        <v>94</v>
      </c>
      <c r="B84" s="2" t="s">
        <v>95</v>
      </c>
      <c r="C84" s="2" t="s">
        <v>17</v>
      </c>
      <c r="D84" s="2" t="s">
        <v>63</v>
      </c>
      <c r="E84" s="2">
        <v>18</v>
      </c>
      <c r="F84" s="3">
        <v>524</v>
      </c>
      <c r="G84" s="3">
        <v>677</v>
      </c>
      <c r="H84" s="3">
        <v>1167</v>
      </c>
      <c r="I84" s="3">
        <v>1564</v>
      </c>
      <c r="J84" s="3">
        <v>1125</v>
      </c>
      <c r="K84" s="3">
        <v>830</v>
      </c>
      <c r="L84" s="3">
        <v>1785</v>
      </c>
      <c r="M84" s="3">
        <v>250</v>
      </c>
      <c r="N84" s="3">
        <v>0</v>
      </c>
      <c r="O84" s="3">
        <v>400</v>
      </c>
      <c r="P84" s="3">
        <v>0</v>
      </c>
      <c r="Q84" s="3">
        <v>130</v>
      </c>
      <c r="R84" s="3">
        <v>8452</v>
      </c>
      <c r="S84" s="4">
        <v>0.58289655172400001</v>
      </c>
      <c r="T84" s="3">
        <v>624</v>
      </c>
      <c r="U84" s="2" t="s">
        <v>88</v>
      </c>
    </row>
    <row r="85" spans="1:21" ht="13.2">
      <c r="A85" s="2" t="s">
        <v>94</v>
      </c>
      <c r="B85" s="2" t="s">
        <v>95</v>
      </c>
      <c r="C85" s="2" t="s">
        <v>17</v>
      </c>
      <c r="D85" s="2" t="s">
        <v>64</v>
      </c>
      <c r="E85" s="2">
        <v>19</v>
      </c>
      <c r="F85" s="3">
        <v>524</v>
      </c>
      <c r="G85" s="3">
        <v>677</v>
      </c>
      <c r="H85" s="3">
        <v>1167</v>
      </c>
      <c r="I85" s="3">
        <v>1565</v>
      </c>
      <c r="J85" s="3">
        <v>1395</v>
      </c>
      <c r="K85" s="3">
        <v>750</v>
      </c>
      <c r="L85" s="3">
        <v>1250</v>
      </c>
      <c r="M85" s="3">
        <v>315</v>
      </c>
      <c r="N85" s="3">
        <v>730</v>
      </c>
      <c r="O85" s="3">
        <v>400</v>
      </c>
      <c r="P85" s="3">
        <v>0</v>
      </c>
      <c r="Q85" s="3">
        <v>130</v>
      </c>
      <c r="R85" s="3">
        <v>8903</v>
      </c>
      <c r="S85" s="4">
        <v>0.61399999999999999</v>
      </c>
      <c r="T85" s="3">
        <v>451</v>
      </c>
      <c r="U85" s="2" t="s">
        <v>88</v>
      </c>
    </row>
    <row r="86" spans="1:21" ht="13.2">
      <c r="A86" s="2" t="s">
        <v>94</v>
      </c>
      <c r="B86" s="2" t="s">
        <v>95</v>
      </c>
      <c r="C86" s="2" t="s">
        <v>17</v>
      </c>
      <c r="D86" s="2" t="s">
        <v>65</v>
      </c>
      <c r="E86" s="2">
        <v>20</v>
      </c>
      <c r="F86" s="3">
        <v>524</v>
      </c>
      <c r="G86" s="3">
        <v>677</v>
      </c>
      <c r="H86" s="3">
        <v>1167</v>
      </c>
      <c r="I86" s="3">
        <v>1565</v>
      </c>
      <c r="J86" s="3">
        <v>1345</v>
      </c>
      <c r="K86" s="3">
        <v>620</v>
      </c>
      <c r="L86" s="3">
        <v>1190</v>
      </c>
      <c r="M86" s="3">
        <v>535</v>
      </c>
      <c r="N86" s="3">
        <v>290</v>
      </c>
      <c r="O86" s="3">
        <v>840</v>
      </c>
      <c r="P86" s="3">
        <v>0</v>
      </c>
      <c r="Q86" s="3">
        <v>130</v>
      </c>
      <c r="R86" s="3">
        <v>8883</v>
      </c>
      <c r="S86" s="4">
        <v>0.61262068965500005</v>
      </c>
      <c r="T86" s="3">
        <v>-20</v>
      </c>
      <c r="U86" s="2" t="s">
        <v>88</v>
      </c>
    </row>
    <row r="87" spans="1:21" ht="13.2">
      <c r="A87" s="2" t="s">
        <v>94</v>
      </c>
      <c r="B87" s="2" t="s">
        <v>95</v>
      </c>
      <c r="C87" s="2" t="s">
        <v>17</v>
      </c>
      <c r="D87" s="2" t="s">
        <v>66</v>
      </c>
      <c r="E87" s="2">
        <v>21</v>
      </c>
      <c r="F87" s="3">
        <v>524</v>
      </c>
      <c r="G87" s="3">
        <v>677</v>
      </c>
      <c r="H87" s="3">
        <v>1167</v>
      </c>
      <c r="I87" s="3">
        <v>1565</v>
      </c>
      <c r="J87" s="3">
        <v>1055</v>
      </c>
      <c r="K87" s="3">
        <v>735</v>
      </c>
      <c r="L87" s="3">
        <v>1295</v>
      </c>
      <c r="M87" s="3">
        <v>535</v>
      </c>
      <c r="N87" s="3">
        <v>340</v>
      </c>
      <c r="O87" s="3">
        <v>840</v>
      </c>
      <c r="P87" s="3">
        <v>0</v>
      </c>
      <c r="Q87" s="3">
        <v>130</v>
      </c>
      <c r="R87" s="3">
        <v>8863</v>
      </c>
      <c r="S87" s="4">
        <v>0.61124137931</v>
      </c>
      <c r="T87" s="3">
        <v>-20</v>
      </c>
      <c r="U87" s="2" t="s">
        <v>88</v>
      </c>
    </row>
    <row r="88" spans="1:21" ht="13.2">
      <c r="A88" s="2" t="s">
        <v>94</v>
      </c>
      <c r="B88" s="2" t="s">
        <v>95</v>
      </c>
      <c r="C88" s="2" t="s">
        <v>17</v>
      </c>
      <c r="D88" s="2" t="s">
        <v>67</v>
      </c>
      <c r="E88" s="2">
        <v>22</v>
      </c>
      <c r="F88" s="3">
        <v>524</v>
      </c>
      <c r="G88" s="3">
        <v>677</v>
      </c>
      <c r="H88" s="3">
        <v>1167</v>
      </c>
      <c r="I88" s="3">
        <v>1565</v>
      </c>
      <c r="J88" s="3">
        <v>1144</v>
      </c>
      <c r="K88" s="3">
        <v>730</v>
      </c>
      <c r="L88" s="3">
        <v>1390</v>
      </c>
      <c r="M88" s="3">
        <v>480</v>
      </c>
      <c r="N88" s="3">
        <v>385</v>
      </c>
      <c r="O88" s="3">
        <v>815</v>
      </c>
      <c r="P88" s="3">
        <v>0</v>
      </c>
      <c r="Q88" s="3">
        <v>130</v>
      </c>
      <c r="R88" s="3">
        <v>9007</v>
      </c>
      <c r="S88" s="4">
        <v>0.62117241379300003</v>
      </c>
      <c r="T88" s="3">
        <v>144</v>
      </c>
      <c r="U88" s="2" t="s">
        <v>88</v>
      </c>
    </row>
    <row r="89" spans="1:21" ht="13.2">
      <c r="A89" s="2" t="s">
        <v>94</v>
      </c>
      <c r="B89" s="2" t="s">
        <v>95</v>
      </c>
      <c r="C89" s="2" t="s">
        <v>17</v>
      </c>
      <c r="D89" s="2" t="s">
        <v>68</v>
      </c>
      <c r="E89" s="2">
        <v>23</v>
      </c>
      <c r="F89" s="3">
        <v>524</v>
      </c>
      <c r="G89" s="3">
        <v>677</v>
      </c>
      <c r="H89" s="3">
        <v>1167</v>
      </c>
      <c r="I89" s="3">
        <v>1565</v>
      </c>
      <c r="J89" s="3">
        <v>1145</v>
      </c>
      <c r="K89" s="3">
        <v>755</v>
      </c>
      <c r="L89" s="3">
        <v>1390</v>
      </c>
      <c r="M89" s="3">
        <v>545</v>
      </c>
      <c r="N89" s="3">
        <v>1035</v>
      </c>
      <c r="O89" s="3">
        <v>895</v>
      </c>
      <c r="P89" s="3">
        <v>210</v>
      </c>
      <c r="Q89" s="3">
        <v>130</v>
      </c>
      <c r="R89" s="3">
        <v>10038</v>
      </c>
      <c r="S89" s="4">
        <v>0.69227586206900005</v>
      </c>
      <c r="T89" s="3">
        <v>1031</v>
      </c>
      <c r="U89" s="2" t="s">
        <v>88</v>
      </c>
    </row>
    <row r="90" spans="1:21" ht="13.2">
      <c r="A90" s="2" t="s">
        <v>94</v>
      </c>
      <c r="B90" s="2" t="s">
        <v>95</v>
      </c>
      <c r="C90" s="2" t="s">
        <v>17</v>
      </c>
      <c r="D90" s="2" t="s">
        <v>69</v>
      </c>
      <c r="E90" s="2">
        <v>24</v>
      </c>
      <c r="F90" s="3">
        <v>524</v>
      </c>
      <c r="G90" s="3">
        <v>677</v>
      </c>
      <c r="H90" s="3">
        <v>1167</v>
      </c>
      <c r="I90" s="3">
        <v>1565</v>
      </c>
      <c r="J90" s="3">
        <v>1145</v>
      </c>
      <c r="K90" s="3">
        <v>625</v>
      </c>
      <c r="L90" s="3">
        <v>1040</v>
      </c>
      <c r="M90" s="3">
        <v>820</v>
      </c>
      <c r="N90" s="3">
        <v>1345</v>
      </c>
      <c r="O90" s="3">
        <v>755</v>
      </c>
      <c r="P90" s="3">
        <v>415</v>
      </c>
      <c r="Q90" s="3">
        <v>130</v>
      </c>
      <c r="R90" s="3">
        <v>10208</v>
      </c>
      <c r="S90" s="4">
        <v>0.70399999999999996</v>
      </c>
      <c r="T90" s="3">
        <v>170</v>
      </c>
      <c r="U90" s="2" t="s">
        <v>88</v>
      </c>
    </row>
    <row r="91" spans="1:21" ht="13.2">
      <c r="A91" s="2" t="s">
        <v>94</v>
      </c>
      <c r="B91" s="2" t="s">
        <v>95</v>
      </c>
      <c r="C91" s="2" t="s">
        <v>17</v>
      </c>
      <c r="D91" s="2" t="s">
        <v>70</v>
      </c>
      <c r="E91" s="2">
        <v>25</v>
      </c>
      <c r="F91" s="3">
        <v>524</v>
      </c>
      <c r="G91" s="3">
        <v>677</v>
      </c>
      <c r="H91" s="3">
        <v>1167</v>
      </c>
      <c r="I91" s="3">
        <v>1565</v>
      </c>
      <c r="J91" s="3">
        <v>1145</v>
      </c>
      <c r="K91" s="3">
        <v>625</v>
      </c>
      <c r="L91" s="3">
        <v>985</v>
      </c>
      <c r="M91" s="3">
        <v>575</v>
      </c>
      <c r="N91" s="3">
        <v>1545</v>
      </c>
      <c r="O91" s="3">
        <v>905</v>
      </c>
      <c r="P91" s="3">
        <v>415</v>
      </c>
      <c r="Q91" s="3">
        <v>295</v>
      </c>
      <c r="R91" s="3">
        <v>10423</v>
      </c>
      <c r="S91" s="4">
        <v>0.71882758620700005</v>
      </c>
      <c r="T91" s="3">
        <v>215</v>
      </c>
      <c r="U91" s="2" t="s">
        <v>88</v>
      </c>
    </row>
    <row r="92" spans="1:21" ht="13.2">
      <c r="A92" s="2" t="s">
        <v>94</v>
      </c>
      <c r="B92" s="2" t="s">
        <v>95</v>
      </c>
      <c r="C92" s="2" t="s">
        <v>17</v>
      </c>
      <c r="D92" s="2" t="s">
        <v>71</v>
      </c>
      <c r="E92" s="2">
        <v>26</v>
      </c>
      <c r="F92" s="3">
        <v>524</v>
      </c>
      <c r="G92" s="3">
        <v>677</v>
      </c>
      <c r="H92" s="3">
        <v>1167</v>
      </c>
      <c r="I92" s="3">
        <v>1565</v>
      </c>
      <c r="J92" s="3">
        <v>1145</v>
      </c>
      <c r="K92" s="3">
        <v>625</v>
      </c>
      <c r="L92" s="3">
        <v>1030</v>
      </c>
      <c r="M92" s="3">
        <v>575</v>
      </c>
      <c r="N92" s="3">
        <v>1535</v>
      </c>
      <c r="O92" s="3">
        <v>905</v>
      </c>
      <c r="P92" s="3">
        <v>415</v>
      </c>
      <c r="Q92" s="3">
        <v>295</v>
      </c>
      <c r="R92" s="3">
        <v>10458</v>
      </c>
      <c r="S92" s="4">
        <v>0.72124137930999999</v>
      </c>
      <c r="T92" s="3">
        <v>35</v>
      </c>
      <c r="U92" s="2" t="s">
        <v>88</v>
      </c>
    </row>
    <row r="93" spans="1:21" ht="13.2">
      <c r="A93" s="2" t="s">
        <v>94</v>
      </c>
      <c r="B93" s="2" t="s">
        <v>95</v>
      </c>
      <c r="C93" s="2" t="s">
        <v>17</v>
      </c>
      <c r="D93" s="2" t="s">
        <v>72</v>
      </c>
      <c r="E93" s="2">
        <v>27</v>
      </c>
      <c r="F93" s="3">
        <v>524</v>
      </c>
      <c r="G93" s="3">
        <v>677</v>
      </c>
      <c r="H93" s="3">
        <v>1167</v>
      </c>
      <c r="I93" s="3">
        <v>1565</v>
      </c>
      <c r="J93" s="3">
        <v>1145</v>
      </c>
      <c r="K93" s="3">
        <v>620</v>
      </c>
      <c r="L93" s="3">
        <v>870</v>
      </c>
      <c r="M93" s="3">
        <v>680</v>
      </c>
      <c r="N93" s="3">
        <v>1390</v>
      </c>
      <c r="O93" s="3">
        <v>930</v>
      </c>
      <c r="P93" s="3">
        <v>400</v>
      </c>
      <c r="Q93" s="3">
        <v>525</v>
      </c>
      <c r="R93" s="3">
        <v>10493</v>
      </c>
      <c r="S93" s="4">
        <v>0.72365517241400001</v>
      </c>
      <c r="T93" s="3">
        <v>35</v>
      </c>
      <c r="U93" s="2" t="s">
        <v>89</v>
      </c>
    </row>
    <row r="94" spans="1:21" ht="13.2">
      <c r="A94" s="2" t="s">
        <v>94</v>
      </c>
      <c r="B94" s="2" t="s">
        <v>95</v>
      </c>
      <c r="C94" s="2" t="s">
        <v>17</v>
      </c>
      <c r="D94" s="2" t="s">
        <v>73</v>
      </c>
      <c r="E94" s="2">
        <v>28</v>
      </c>
      <c r="F94" s="3">
        <v>524</v>
      </c>
      <c r="G94" s="3">
        <v>677</v>
      </c>
      <c r="H94" s="3">
        <v>1167</v>
      </c>
      <c r="I94" s="3">
        <v>1565</v>
      </c>
      <c r="J94" s="3">
        <v>1145</v>
      </c>
      <c r="K94" s="3">
        <v>620</v>
      </c>
      <c r="L94" s="3">
        <v>885</v>
      </c>
      <c r="M94" s="3">
        <v>670</v>
      </c>
      <c r="N94" s="3">
        <v>1440</v>
      </c>
      <c r="O94" s="3">
        <v>715</v>
      </c>
      <c r="P94" s="3">
        <v>660</v>
      </c>
      <c r="Q94" s="3">
        <v>230</v>
      </c>
      <c r="R94" s="3">
        <v>10298</v>
      </c>
      <c r="S94" s="4">
        <v>0.71020689655199998</v>
      </c>
      <c r="T94" s="3">
        <v>-195</v>
      </c>
      <c r="U94" s="2" t="s">
        <v>89</v>
      </c>
    </row>
    <row r="95" spans="1:21" ht="13.2">
      <c r="A95" s="2" t="s">
        <v>94</v>
      </c>
      <c r="B95" s="2" t="s">
        <v>95</v>
      </c>
      <c r="C95" s="2" t="s">
        <v>17</v>
      </c>
      <c r="D95" s="2" t="s">
        <v>74</v>
      </c>
      <c r="E95" s="2">
        <v>29</v>
      </c>
      <c r="F95" s="3">
        <v>524</v>
      </c>
      <c r="G95" s="3">
        <v>677</v>
      </c>
      <c r="H95" s="3">
        <v>1167</v>
      </c>
      <c r="I95" s="3">
        <v>1565</v>
      </c>
      <c r="J95" s="3">
        <v>1145</v>
      </c>
      <c r="K95" s="3">
        <v>620</v>
      </c>
      <c r="L95" s="3">
        <v>885</v>
      </c>
      <c r="M95" s="3">
        <v>670</v>
      </c>
      <c r="N95" s="3">
        <v>1440</v>
      </c>
      <c r="O95" s="3">
        <v>805</v>
      </c>
      <c r="P95" s="3">
        <v>660</v>
      </c>
      <c r="Q95" s="3">
        <v>230</v>
      </c>
      <c r="R95" s="3">
        <v>10388</v>
      </c>
      <c r="S95" s="4">
        <v>0.71641379310300002</v>
      </c>
      <c r="T95" s="3">
        <v>90</v>
      </c>
      <c r="U95" s="2" t="s">
        <v>89</v>
      </c>
    </row>
    <row r="96" spans="1:21" ht="13.2">
      <c r="A96" s="2" t="s">
        <v>94</v>
      </c>
      <c r="B96" s="2" t="s">
        <v>95</v>
      </c>
      <c r="C96" s="2" t="s">
        <v>17</v>
      </c>
      <c r="D96" s="2" t="s">
        <v>75</v>
      </c>
      <c r="E96" s="2">
        <v>30</v>
      </c>
      <c r="F96" s="3">
        <v>524</v>
      </c>
      <c r="G96" s="3">
        <v>677</v>
      </c>
      <c r="H96" s="3">
        <v>1167</v>
      </c>
      <c r="I96" s="3">
        <v>1565</v>
      </c>
      <c r="J96" s="3">
        <v>1145</v>
      </c>
      <c r="K96" s="3">
        <v>620</v>
      </c>
      <c r="L96" s="3">
        <v>824.7831625</v>
      </c>
      <c r="M96" s="3">
        <v>660</v>
      </c>
      <c r="N96" s="3">
        <v>1230</v>
      </c>
      <c r="O96" s="3">
        <v>620</v>
      </c>
      <c r="P96" s="3">
        <v>1035</v>
      </c>
      <c r="Q96" s="3">
        <v>230</v>
      </c>
      <c r="R96" s="3">
        <v>10297.7831625</v>
      </c>
      <c r="S96" s="4">
        <v>0.71019194224100002</v>
      </c>
      <c r="T96" s="3">
        <v>-90.216837499999997</v>
      </c>
      <c r="U96" s="2" t="s">
        <v>89</v>
      </c>
    </row>
    <row r="97" spans="1:21" ht="13.2">
      <c r="A97" s="2" t="s">
        <v>94</v>
      </c>
      <c r="B97" s="2" t="s">
        <v>95</v>
      </c>
      <c r="C97" s="2" t="s">
        <v>17</v>
      </c>
      <c r="D97" s="2" t="s">
        <v>76</v>
      </c>
      <c r="E97" s="2">
        <v>31</v>
      </c>
      <c r="F97" s="3">
        <v>524</v>
      </c>
      <c r="G97" s="3">
        <v>677</v>
      </c>
      <c r="H97" s="3">
        <v>1167</v>
      </c>
      <c r="I97" s="3">
        <v>1565</v>
      </c>
      <c r="J97" s="3">
        <v>1145</v>
      </c>
      <c r="K97" s="3">
        <v>620</v>
      </c>
      <c r="L97" s="3">
        <v>1035.3975324999999</v>
      </c>
      <c r="M97" s="3">
        <v>555</v>
      </c>
      <c r="N97" s="3">
        <v>1215</v>
      </c>
      <c r="O97" s="3">
        <v>720</v>
      </c>
      <c r="P97" s="3">
        <v>925</v>
      </c>
      <c r="Q97" s="3">
        <v>265</v>
      </c>
      <c r="R97" s="3">
        <v>10413.397532499999</v>
      </c>
      <c r="S97" s="4">
        <v>0.71816534706900004</v>
      </c>
      <c r="T97" s="3">
        <v>115.614369999999</v>
      </c>
      <c r="U97" s="2" t="s">
        <v>89</v>
      </c>
    </row>
    <row r="98" spans="1:21" ht="13.2">
      <c r="A98" s="2" t="s">
        <v>94</v>
      </c>
      <c r="B98" s="2" t="s">
        <v>95</v>
      </c>
      <c r="C98" s="2" t="s">
        <v>17</v>
      </c>
      <c r="D98" s="2" t="s">
        <v>77</v>
      </c>
      <c r="E98" s="2">
        <v>32</v>
      </c>
      <c r="F98" s="3">
        <v>524</v>
      </c>
      <c r="G98" s="3">
        <v>677</v>
      </c>
      <c r="H98" s="3">
        <v>1167</v>
      </c>
      <c r="I98" s="3">
        <v>1565</v>
      </c>
      <c r="J98" s="3">
        <v>1145</v>
      </c>
      <c r="K98" s="3">
        <v>620</v>
      </c>
      <c r="L98" s="3">
        <v>1035.3975324999999</v>
      </c>
      <c r="M98" s="3">
        <v>555</v>
      </c>
      <c r="N98" s="3">
        <v>1285</v>
      </c>
      <c r="O98" s="3">
        <v>880</v>
      </c>
      <c r="P98" s="3">
        <v>805</v>
      </c>
      <c r="Q98" s="3">
        <v>265</v>
      </c>
      <c r="R98" s="3">
        <v>10523.397532499999</v>
      </c>
      <c r="S98" s="4">
        <v>0.725751553966</v>
      </c>
      <c r="T98" s="3">
        <v>110</v>
      </c>
      <c r="U98" s="2" t="s">
        <v>89</v>
      </c>
    </row>
    <row r="99" spans="1:21" ht="13.2">
      <c r="A99" s="2" t="s">
        <v>94</v>
      </c>
      <c r="B99" s="2" t="s">
        <v>95</v>
      </c>
      <c r="C99" s="2" t="s">
        <v>17</v>
      </c>
      <c r="D99" s="2" t="s">
        <v>78</v>
      </c>
      <c r="E99" s="2">
        <v>33</v>
      </c>
      <c r="F99" s="3">
        <v>524</v>
      </c>
      <c r="G99" s="3">
        <v>677</v>
      </c>
      <c r="H99" s="3">
        <v>1167</v>
      </c>
      <c r="I99" s="3">
        <v>1565</v>
      </c>
      <c r="J99" s="3">
        <v>1145</v>
      </c>
      <c r="K99" s="3">
        <v>620</v>
      </c>
      <c r="L99" s="3">
        <v>1035.3975324999999</v>
      </c>
      <c r="M99" s="3">
        <v>525</v>
      </c>
      <c r="N99" s="3">
        <v>1240</v>
      </c>
      <c r="O99" s="3">
        <v>835</v>
      </c>
      <c r="P99" s="3">
        <v>995</v>
      </c>
      <c r="Q99" s="3">
        <v>265</v>
      </c>
      <c r="R99" s="3">
        <v>10593.397532499999</v>
      </c>
      <c r="S99" s="4">
        <v>0.73057914017199999</v>
      </c>
      <c r="T99" s="3">
        <v>70</v>
      </c>
      <c r="U99" s="2" t="s">
        <v>89</v>
      </c>
    </row>
    <row r="100" spans="1:21" ht="13.2">
      <c r="A100" s="2" t="s">
        <v>94</v>
      </c>
      <c r="B100" s="2" t="s">
        <v>95</v>
      </c>
      <c r="C100" s="2" t="s">
        <v>17</v>
      </c>
      <c r="D100" s="2" t="s">
        <v>79</v>
      </c>
      <c r="E100" s="2">
        <v>34</v>
      </c>
      <c r="F100" s="3">
        <v>524</v>
      </c>
      <c r="G100" s="3">
        <v>677</v>
      </c>
      <c r="H100" s="3">
        <v>1167</v>
      </c>
      <c r="I100" s="3">
        <v>1565</v>
      </c>
      <c r="J100" s="3">
        <v>1145</v>
      </c>
      <c r="K100" s="3">
        <v>620</v>
      </c>
      <c r="L100" s="3">
        <v>1035.3975324999999</v>
      </c>
      <c r="M100" s="3">
        <v>525</v>
      </c>
      <c r="N100" s="3">
        <v>1240</v>
      </c>
      <c r="O100" s="3">
        <v>835</v>
      </c>
      <c r="P100" s="3">
        <v>995</v>
      </c>
      <c r="Q100" s="3">
        <v>265</v>
      </c>
      <c r="R100" s="3">
        <v>10593.397532499999</v>
      </c>
      <c r="S100" s="4">
        <v>0.73057914017199999</v>
      </c>
      <c r="T100" s="3">
        <v>0</v>
      </c>
      <c r="U100" s="2" t="s">
        <v>89</v>
      </c>
    </row>
    <row r="101" spans="1:21" ht="13.2">
      <c r="A101" s="2" t="s">
        <v>94</v>
      </c>
      <c r="B101" s="2" t="s">
        <v>95</v>
      </c>
      <c r="C101" s="2" t="s">
        <v>17</v>
      </c>
      <c r="D101" s="2" t="s">
        <v>80</v>
      </c>
      <c r="E101" s="2">
        <v>35</v>
      </c>
      <c r="F101" s="3">
        <v>524</v>
      </c>
      <c r="G101" s="3">
        <v>677</v>
      </c>
      <c r="H101" s="3">
        <v>1167</v>
      </c>
      <c r="I101" s="3">
        <v>1565</v>
      </c>
      <c r="J101" s="3">
        <v>1145</v>
      </c>
      <c r="K101" s="3">
        <v>620</v>
      </c>
      <c r="L101" s="3">
        <v>1035.3975324999999</v>
      </c>
      <c r="M101" s="3">
        <v>525</v>
      </c>
      <c r="N101" s="3">
        <v>1240</v>
      </c>
      <c r="O101" s="3">
        <v>895</v>
      </c>
      <c r="P101" s="3">
        <v>995</v>
      </c>
      <c r="Q101" s="3">
        <v>265</v>
      </c>
      <c r="R101" s="3">
        <v>10653.397532499999</v>
      </c>
      <c r="S101" s="4">
        <v>0.73471707120700003</v>
      </c>
      <c r="T101" s="3">
        <v>60</v>
      </c>
      <c r="U101" s="2" t="s">
        <v>89</v>
      </c>
    </row>
    <row r="102" spans="1:21" ht="13.2">
      <c r="A102" s="2" t="s">
        <v>94</v>
      </c>
      <c r="B102" s="2" t="s">
        <v>95</v>
      </c>
      <c r="C102" s="2" t="s">
        <v>17</v>
      </c>
      <c r="D102" s="2" t="s">
        <v>81</v>
      </c>
      <c r="E102" s="2">
        <v>35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138</v>
      </c>
      <c r="P102" s="3">
        <v>173</v>
      </c>
      <c r="Q102" s="3">
        <v>175</v>
      </c>
      <c r="R102" s="3">
        <v>486</v>
      </c>
      <c r="S102" s="4"/>
      <c r="T102" s="3"/>
      <c r="U102" s="2" t="s">
        <v>90</v>
      </c>
    </row>
    <row r="103" spans="1:21" ht="13.2">
      <c r="A103" s="2" t="s">
        <v>94</v>
      </c>
      <c r="B103" s="2" t="s">
        <v>95</v>
      </c>
      <c r="C103" s="2" t="s">
        <v>17</v>
      </c>
      <c r="D103" s="2" t="s">
        <v>82</v>
      </c>
      <c r="E103" s="2">
        <v>35</v>
      </c>
      <c r="F103" s="3">
        <v>524</v>
      </c>
      <c r="G103" s="3">
        <v>677</v>
      </c>
      <c r="H103" s="3">
        <v>1167</v>
      </c>
      <c r="I103" s="3">
        <v>1565</v>
      </c>
      <c r="J103" s="3">
        <v>1145</v>
      </c>
      <c r="K103" s="3">
        <v>620</v>
      </c>
      <c r="L103" s="3">
        <v>1035.3975324999999</v>
      </c>
      <c r="M103" s="3">
        <v>525</v>
      </c>
      <c r="N103" s="3">
        <v>1240</v>
      </c>
      <c r="O103" s="3">
        <v>1033</v>
      </c>
      <c r="P103" s="3">
        <v>1168</v>
      </c>
      <c r="Q103" s="3">
        <v>440</v>
      </c>
      <c r="R103" s="3">
        <v>11139.397532499999</v>
      </c>
      <c r="S103" s="4">
        <v>0.76823431258599995</v>
      </c>
      <c r="T103" s="3"/>
      <c r="U103" s="2" t="s">
        <v>91</v>
      </c>
    </row>
    <row r="104" spans="1:21" ht="13.2">
      <c r="A104" s="2" t="s">
        <v>96</v>
      </c>
      <c r="B104" s="2" t="s">
        <v>97</v>
      </c>
      <c r="C104" s="2" t="s">
        <v>17</v>
      </c>
      <c r="D104" s="2" t="s">
        <v>12</v>
      </c>
      <c r="E104" s="2">
        <v>0</v>
      </c>
      <c r="F104" s="3">
        <v>70</v>
      </c>
      <c r="G104" s="3">
        <v>190</v>
      </c>
      <c r="H104" s="3">
        <v>215</v>
      </c>
      <c r="I104" s="3">
        <v>130</v>
      </c>
      <c r="J104" s="3">
        <v>140</v>
      </c>
      <c r="K104" s="3">
        <v>100</v>
      </c>
      <c r="L104" s="3">
        <v>80</v>
      </c>
      <c r="M104" s="3">
        <v>90</v>
      </c>
      <c r="N104" s="3">
        <v>190</v>
      </c>
      <c r="O104" s="3">
        <v>120</v>
      </c>
      <c r="P104" s="3">
        <v>110</v>
      </c>
      <c r="Q104" s="3">
        <v>65</v>
      </c>
      <c r="R104" s="3">
        <v>1500</v>
      </c>
      <c r="S104" s="4"/>
      <c r="T104" s="3"/>
      <c r="U104" s="2" t="s">
        <v>87</v>
      </c>
    </row>
    <row r="105" spans="1:21" ht="13.2">
      <c r="A105" s="2" t="s">
        <v>96</v>
      </c>
      <c r="B105" s="2" t="s">
        <v>97</v>
      </c>
      <c r="C105" s="2" t="s">
        <v>17</v>
      </c>
      <c r="D105" s="2" t="s">
        <v>50</v>
      </c>
      <c r="E105" s="2">
        <v>5</v>
      </c>
      <c r="F105" s="3">
        <v>104</v>
      </c>
      <c r="G105" s="3">
        <v>225</v>
      </c>
      <c r="H105" s="3">
        <v>223</v>
      </c>
      <c r="I105" s="3">
        <v>156</v>
      </c>
      <c r="J105" s="3">
        <v>183</v>
      </c>
      <c r="K105" s="3">
        <v>69</v>
      </c>
      <c r="L105" s="3">
        <v>19</v>
      </c>
      <c r="M105" s="3">
        <v>44</v>
      </c>
      <c r="N105" s="3">
        <v>171</v>
      </c>
      <c r="O105" s="3">
        <v>6</v>
      </c>
      <c r="P105" s="3">
        <v>123</v>
      </c>
      <c r="Q105" s="3">
        <v>47</v>
      </c>
      <c r="R105" s="3">
        <v>1370</v>
      </c>
      <c r="S105" s="4">
        <v>0.91333333333300004</v>
      </c>
      <c r="T105" s="3"/>
      <c r="U105" s="2" t="s">
        <v>88</v>
      </c>
    </row>
    <row r="106" spans="1:21" ht="13.2">
      <c r="A106" s="2" t="s">
        <v>96</v>
      </c>
      <c r="B106" s="2" t="s">
        <v>97</v>
      </c>
      <c r="C106" s="2" t="s">
        <v>17</v>
      </c>
      <c r="D106" s="2" t="s">
        <v>51</v>
      </c>
      <c r="E106" s="2">
        <v>6</v>
      </c>
      <c r="F106" s="3">
        <v>104</v>
      </c>
      <c r="G106" s="3">
        <v>163</v>
      </c>
      <c r="H106" s="3">
        <v>265</v>
      </c>
      <c r="I106" s="3">
        <v>144</v>
      </c>
      <c r="J106" s="3">
        <v>183</v>
      </c>
      <c r="K106" s="3">
        <v>69</v>
      </c>
      <c r="L106" s="3">
        <v>19</v>
      </c>
      <c r="M106" s="3">
        <v>44</v>
      </c>
      <c r="N106" s="3">
        <v>171</v>
      </c>
      <c r="O106" s="3">
        <v>6</v>
      </c>
      <c r="P106" s="3">
        <v>123</v>
      </c>
      <c r="Q106" s="3">
        <v>47</v>
      </c>
      <c r="R106" s="3">
        <v>1338</v>
      </c>
      <c r="S106" s="4">
        <v>0.89200000000000002</v>
      </c>
      <c r="T106" s="3">
        <v>-32</v>
      </c>
      <c r="U106" s="2" t="s">
        <v>88</v>
      </c>
    </row>
    <row r="107" spans="1:21" ht="13.2">
      <c r="A107" s="2" t="s">
        <v>96</v>
      </c>
      <c r="B107" s="2" t="s">
        <v>97</v>
      </c>
      <c r="C107" s="2" t="s">
        <v>17</v>
      </c>
      <c r="D107" s="2" t="s">
        <v>52</v>
      </c>
      <c r="E107" s="2">
        <v>7</v>
      </c>
      <c r="F107" s="3">
        <v>104</v>
      </c>
      <c r="G107" s="3">
        <v>166</v>
      </c>
      <c r="H107" s="3">
        <v>265</v>
      </c>
      <c r="I107" s="3">
        <v>156</v>
      </c>
      <c r="J107" s="3">
        <v>183</v>
      </c>
      <c r="K107" s="3">
        <v>69</v>
      </c>
      <c r="L107" s="3">
        <v>19</v>
      </c>
      <c r="M107" s="3">
        <v>44</v>
      </c>
      <c r="N107" s="3">
        <v>171</v>
      </c>
      <c r="O107" s="3">
        <v>6</v>
      </c>
      <c r="P107" s="3">
        <v>123</v>
      </c>
      <c r="Q107" s="3">
        <v>47</v>
      </c>
      <c r="R107" s="3">
        <v>1353</v>
      </c>
      <c r="S107" s="4">
        <v>0.90200000000000002</v>
      </c>
      <c r="T107" s="3">
        <v>15</v>
      </c>
      <c r="U107" s="2" t="s">
        <v>88</v>
      </c>
    </row>
    <row r="108" spans="1:21" ht="13.2">
      <c r="A108" s="2" t="s">
        <v>96</v>
      </c>
      <c r="B108" s="2" t="s">
        <v>97</v>
      </c>
      <c r="C108" s="2" t="s">
        <v>17</v>
      </c>
      <c r="D108" s="2" t="s">
        <v>53</v>
      </c>
      <c r="E108" s="2">
        <v>8</v>
      </c>
      <c r="F108" s="3">
        <v>104</v>
      </c>
      <c r="G108" s="3">
        <v>90</v>
      </c>
      <c r="H108" s="3">
        <v>313</v>
      </c>
      <c r="I108" s="3">
        <v>186</v>
      </c>
      <c r="J108" s="3">
        <v>178</v>
      </c>
      <c r="K108" s="3">
        <v>49</v>
      </c>
      <c r="L108" s="3">
        <v>39</v>
      </c>
      <c r="M108" s="3">
        <v>44</v>
      </c>
      <c r="N108" s="3">
        <v>176</v>
      </c>
      <c r="O108" s="3">
        <v>6</v>
      </c>
      <c r="P108" s="3">
        <v>123</v>
      </c>
      <c r="Q108" s="3">
        <v>47</v>
      </c>
      <c r="R108" s="3">
        <v>1355</v>
      </c>
      <c r="S108" s="4">
        <v>0.90333333333300003</v>
      </c>
      <c r="T108" s="3">
        <v>2</v>
      </c>
      <c r="U108" s="2" t="s">
        <v>88</v>
      </c>
    </row>
    <row r="109" spans="1:21" ht="13.2">
      <c r="A109" s="2" t="s">
        <v>96</v>
      </c>
      <c r="B109" s="2" t="s">
        <v>97</v>
      </c>
      <c r="C109" s="2" t="s">
        <v>17</v>
      </c>
      <c r="D109" s="2" t="s">
        <v>54</v>
      </c>
      <c r="E109" s="2">
        <v>9</v>
      </c>
      <c r="F109" s="3">
        <v>104</v>
      </c>
      <c r="G109" s="3">
        <v>83</v>
      </c>
      <c r="H109" s="3">
        <v>322</v>
      </c>
      <c r="I109" s="3">
        <v>174</v>
      </c>
      <c r="J109" s="3">
        <v>235</v>
      </c>
      <c r="K109" s="3">
        <v>62</v>
      </c>
      <c r="L109" s="3">
        <v>39</v>
      </c>
      <c r="M109" s="3">
        <v>57</v>
      </c>
      <c r="N109" s="3">
        <v>176</v>
      </c>
      <c r="O109" s="3">
        <v>6</v>
      </c>
      <c r="P109" s="3">
        <v>123</v>
      </c>
      <c r="Q109" s="3">
        <v>47</v>
      </c>
      <c r="R109" s="3">
        <v>1428</v>
      </c>
      <c r="S109" s="4">
        <v>0.95199999999999996</v>
      </c>
      <c r="T109" s="3">
        <v>73</v>
      </c>
      <c r="U109" s="2" t="s">
        <v>88</v>
      </c>
    </row>
    <row r="110" spans="1:21" ht="13.2">
      <c r="A110" s="2" t="s">
        <v>96</v>
      </c>
      <c r="B110" s="2" t="s">
        <v>97</v>
      </c>
      <c r="C110" s="2" t="s">
        <v>17</v>
      </c>
      <c r="D110" s="2" t="s">
        <v>55</v>
      </c>
      <c r="E110" s="2">
        <v>10</v>
      </c>
      <c r="F110" s="3">
        <v>104</v>
      </c>
      <c r="G110" s="3">
        <v>84</v>
      </c>
      <c r="H110" s="3">
        <v>298</v>
      </c>
      <c r="I110" s="3">
        <v>163</v>
      </c>
      <c r="J110" s="3">
        <v>271</v>
      </c>
      <c r="K110" s="3">
        <v>62</v>
      </c>
      <c r="L110" s="3">
        <v>39</v>
      </c>
      <c r="M110" s="3">
        <v>57</v>
      </c>
      <c r="N110" s="3">
        <v>176</v>
      </c>
      <c r="O110" s="3">
        <v>6</v>
      </c>
      <c r="P110" s="3">
        <v>123</v>
      </c>
      <c r="Q110" s="3">
        <v>47</v>
      </c>
      <c r="R110" s="3">
        <v>1430</v>
      </c>
      <c r="S110" s="4">
        <v>0.95333333333299997</v>
      </c>
      <c r="T110" s="3">
        <v>2</v>
      </c>
      <c r="U110" s="2" t="s">
        <v>88</v>
      </c>
    </row>
    <row r="111" spans="1:21" ht="13.2">
      <c r="A111" s="2" t="s">
        <v>96</v>
      </c>
      <c r="B111" s="2" t="s">
        <v>97</v>
      </c>
      <c r="C111" s="2" t="s">
        <v>17</v>
      </c>
      <c r="D111" s="2" t="s">
        <v>56</v>
      </c>
      <c r="E111" s="2">
        <v>11</v>
      </c>
      <c r="F111" s="3">
        <v>104</v>
      </c>
      <c r="G111" s="3">
        <v>84</v>
      </c>
      <c r="H111" s="3">
        <v>277</v>
      </c>
      <c r="I111" s="3">
        <v>160</v>
      </c>
      <c r="J111" s="3">
        <v>295.5</v>
      </c>
      <c r="K111" s="3">
        <v>62</v>
      </c>
      <c r="L111" s="3">
        <v>59</v>
      </c>
      <c r="M111" s="3">
        <v>57</v>
      </c>
      <c r="N111" s="3">
        <v>176</v>
      </c>
      <c r="O111" s="3">
        <v>6</v>
      </c>
      <c r="P111" s="3">
        <v>103</v>
      </c>
      <c r="Q111" s="3">
        <v>47</v>
      </c>
      <c r="R111" s="3">
        <v>1430.5</v>
      </c>
      <c r="S111" s="4">
        <v>0.95366666666699995</v>
      </c>
      <c r="T111" s="3">
        <v>0.5</v>
      </c>
      <c r="U111" s="2" t="s">
        <v>88</v>
      </c>
    </row>
    <row r="112" spans="1:21" ht="13.2">
      <c r="A112" s="2" t="s">
        <v>96</v>
      </c>
      <c r="B112" s="2" t="s">
        <v>97</v>
      </c>
      <c r="C112" s="2" t="s">
        <v>17</v>
      </c>
      <c r="D112" s="2" t="s">
        <v>57</v>
      </c>
      <c r="E112" s="2">
        <v>12</v>
      </c>
      <c r="F112" s="3">
        <v>104</v>
      </c>
      <c r="G112" s="3">
        <v>84</v>
      </c>
      <c r="H112" s="3">
        <v>257</v>
      </c>
      <c r="I112" s="3">
        <v>181</v>
      </c>
      <c r="J112" s="3">
        <v>295.5</v>
      </c>
      <c r="K112" s="3">
        <v>62</v>
      </c>
      <c r="L112" s="3">
        <v>59</v>
      </c>
      <c r="M112" s="3">
        <v>57</v>
      </c>
      <c r="N112" s="3">
        <v>176</v>
      </c>
      <c r="O112" s="3">
        <v>6</v>
      </c>
      <c r="P112" s="3">
        <v>103</v>
      </c>
      <c r="Q112" s="3">
        <v>47</v>
      </c>
      <c r="R112" s="3">
        <v>1431.5</v>
      </c>
      <c r="S112" s="4">
        <v>0.95433333333299997</v>
      </c>
      <c r="T112" s="3">
        <v>1</v>
      </c>
      <c r="U112" s="2" t="s">
        <v>88</v>
      </c>
    </row>
    <row r="113" spans="1:21" ht="13.2">
      <c r="A113" s="2" t="s">
        <v>96</v>
      </c>
      <c r="B113" s="2" t="s">
        <v>97</v>
      </c>
      <c r="C113" s="2" t="s">
        <v>17</v>
      </c>
      <c r="D113" s="2" t="s">
        <v>58</v>
      </c>
      <c r="E113" s="2">
        <v>13</v>
      </c>
      <c r="F113" s="3">
        <v>104</v>
      </c>
      <c r="G113" s="3">
        <v>84</v>
      </c>
      <c r="H113" s="3">
        <v>216</v>
      </c>
      <c r="I113" s="3">
        <v>220</v>
      </c>
      <c r="J113" s="3">
        <v>249.5</v>
      </c>
      <c r="K113" s="3">
        <v>112</v>
      </c>
      <c r="L113" s="3">
        <v>51</v>
      </c>
      <c r="M113" s="3">
        <v>57</v>
      </c>
      <c r="N113" s="3">
        <v>199</v>
      </c>
      <c r="O113" s="3">
        <v>6</v>
      </c>
      <c r="P113" s="3">
        <v>103</v>
      </c>
      <c r="Q113" s="3">
        <v>47</v>
      </c>
      <c r="R113" s="3">
        <v>1448.5</v>
      </c>
      <c r="S113" s="4">
        <v>0.96566666666699996</v>
      </c>
      <c r="T113" s="3">
        <v>17</v>
      </c>
      <c r="U113" s="2" t="s">
        <v>88</v>
      </c>
    </row>
    <row r="114" spans="1:21" ht="13.2">
      <c r="A114" s="2" t="s">
        <v>96</v>
      </c>
      <c r="B114" s="2" t="s">
        <v>97</v>
      </c>
      <c r="C114" s="2" t="s">
        <v>17</v>
      </c>
      <c r="D114" s="2" t="s">
        <v>59</v>
      </c>
      <c r="E114" s="2">
        <v>14</v>
      </c>
      <c r="F114" s="3">
        <v>104</v>
      </c>
      <c r="G114" s="3">
        <v>84</v>
      </c>
      <c r="H114" s="3">
        <v>216</v>
      </c>
      <c r="I114" s="3">
        <v>179</v>
      </c>
      <c r="J114" s="3">
        <v>327.5</v>
      </c>
      <c r="K114" s="3">
        <v>176</v>
      </c>
      <c r="L114" s="3">
        <v>51</v>
      </c>
      <c r="M114" s="3">
        <v>57</v>
      </c>
      <c r="N114" s="3">
        <v>169</v>
      </c>
      <c r="O114" s="3">
        <v>6</v>
      </c>
      <c r="P114" s="3">
        <v>103</v>
      </c>
      <c r="Q114" s="3">
        <v>47</v>
      </c>
      <c r="R114" s="3">
        <v>1519.5</v>
      </c>
      <c r="S114" s="4">
        <v>1.0129999999999999</v>
      </c>
      <c r="T114" s="3">
        <v>71</v>
      </c>
      <c r="U114" s="2" t="s">
        <v>88</v>
      </c>
    </row>
    <row r="115" spans="1:21" ht="13.2">
      <c r="A115" s="2" t="s">
        <v>96</v>
      </c>
      <c r="B115" s="2" t="s">
        <v>97</v>
      </c>
      <c r="C115" s="2" t="s">
        <v>17</v>
      </c>
      <c r="D115" s="2" t="s">
        <v>60</v>
      </c>
      <c r="E115" s="2">
        <v>15</v>
      </c>
      <c r="F115" s="3">
        <v>104</v>
      </c>
      <c r="G115" s="3">
        <v>84</v>
      </c>
      <c r="H115" s="3">
        <v>216</v>
      </c>
      <c r="I115" s="3">
        <v>179</v>
      </c>
      <c r="J115" s="3">
        <v>327.5</v>
      </c>
      <c r="K115" s="3">
        <v>176</v>
      </c>
      <c r="L115" s="3">
        <v>51</v>
      </c>
      <c r="M115" s="3">
        <v>57</v>
      </c>
      <c r="N115" s="3">
        <v>169</v>
      </c>
      <c r="O115" s="3">
        <v>6</v>
      </c>
      <c r="P115" s="3">
        <v>103</v>
      </c>
      <c r="Q115" s="3">
        <v>47</v>
      </c>
      <c r="R115" s="3">
        <v>1519.5</v>
      </c>
      <c r="S115" s="4">
        <v>1.0129999999999999</v>
      </c>
      <c r="T115" s="3">
        <v>0</v>
      </c>
      <c r="U115" s="2" t="s">
        <v>88</v>
      </c>
    </row>
    <row r="116" spans="1:21" ht="13.2">
      <c r="A116" s="2" t="s">
        <v>96</v>
      </c>
      <c r="B116" s="2" t="s">
        <v>97</v>
      </c>
      <c r="C116" s="2" t="s">
        <v>17</v>
      </c>
      <c r="D116" s="2" t="s">
        <v>61</v>
      </c>
      <c r="E116" s="2">
        <v>16</v>
      </c>
      <c r="F116" s="3">
        <v>104</v>
      </c>
      <c r="G116" s="3">
        <v>84</v>
      </c>
      <c r="H116" s="3">
        <v>216</v>
      </c>
      <c r="I116" s="3">
        <v>172</v>
      </c>
      <c r="J116" s="3">
        <v>334.5</v>
      </c>
      <c r="K116" s="3">
        <v>183</v>
      </c>
      <c r="L116" s="3">
        <v>51</v>
      </c>
      <c r="M116" s="3">
        <v>57</v>
      </c>
      <c r="N116" s="3">
        <v>169</v>
      </c>
      <c r="O116" s="3">
        <v>6</v>
      </c>
      <c r="P116" s="3">
        <v>103</v>
      </c>
      <c r="Q116" s="3">
        <v>47</v>
      </c>
      <c r="R116" s="3">
        <v>1526.5</v>
      </c>
      <c r="S116" s="4">
        <v>1.017666666667</v>
      </c>
      <c r="T116" s="3">
        <v>7</v>
      </c>
      <c r="U116" s="2" t="s">
        <v>88</v>
      </c>
    </row>
    <row r="117" spans="1:21" ht="13.2">
      <c r="A117" s="2" t="s">
        <v>96</v>
      </c>
      <c r="B117" s="2" t="s">
        <v>97</v>
      </c>
      <c r="C117" s="2" t="s">
        <v>17</v>
      </c>
      <c r="D117" s="2" t="s">
        <v>62</v>
      </c>
      <c r="E117" s="2">
        <v>17</v>
      </c>
      <c r="F117" s="3">
        <v>104</v>
      </c>
      <c r="G117" s="3">
        <v>84</v>
      </c>
      <c r="H117" s="3">
        <v>216</v>
      </c>
      <c r="I117" s="3">
        <v>137</v>
      </c>
      <c r="J117" s="3">
        <v>337.5</v>
      </c>
      <c r="K117" s="3">
        <v>216</v>
      </c>
      <c r="L117" s="3">
        <v>51</v>
      </c>
      <c r="M117" s="3">
        <v>57</v>
      </c>
      <c r="N117" s="3">
        <v>164</v>
      </c>
      <c r="O117" s="3">
        <v>6</v>
      </c>
      <c r="P117" s="3">
        <v>103</v>
      </c>
      <c r="Q117" s="3">
        <v>47</v>
      </c>
      <c r="R117" s="3">
        <v>1522.5</v>
      </c>
      <c r="S117" s="4">
        <v>1.0149999999999999</v>
      </c>
      <c r="T117" s="3">
        <v>-4</v>
      </c>
      <c r="U117" s="2" t="s">
        <v>88</v>
      </c>
    </row>
    <row r="118" spans="1:21" ht="13.2">
      <c r="A118" s="2" t="s">
        <v>96</v>
      </c>
      <c r="B118" s="2" t="s">
        <v>97</v>
      </c>
      <c r="C118" s="2" t="s">
        <v>17</v>
      </c>
      <c r="D118" s="2" t="s">
        <v>63</v>
      </c>
      <c r="E118" s="2">
        <v>18</v>
      </c>
      <c r="F118" s="3">
        <v>104</v>
      </c>
      <c r="G118" s="3">
        <v>84</v>
      </c>
      <c r="H118" s="3">
        <v>216</v>
      </c>
      <c r="I118" s="3">
        <v>167</v>
      </c>
      <c r="J118" s="3">
        <v>290.3</v>
      </c>
      <c r="K118" s="3">
        <v>223</v>
      </c>
      <c r="L118" s="3">
        <v>75</v>
      </c>
      <c r="M118" s="3">
        <v>57</v>
      </c>
      <c r="N118" s="3">
        <v>164</v>
      </c>
      <c r="O118" s="3">
        <v>6</v>
      </c>
      <c r="P118" s="3">
        <v>103</v>
      </c>
      <c r="Q118" s="3">
        <v>47</v>
      </c>
      <c r="R118" s="3">
        <v>1536.3</v>
      </c>
      <c r="S118" s="4">
        <v>1.0242</v>
      </c>
      <c r="T118" s="3">
        <v>13.8</v>
      </c>
      <c r="U118" s="2" t="s">
        <v>88</v>
      </c>
    </row>
    <row r="119" spans="1:21" ht="13.2">
      <c r="A119" s="2" t="s">
        <v>96</v>
      </c>
      <c r="B119" s="2" t="s">
        <v>97</v>
      </c>
      <c r="C119" s="2" t="s">
        <v>17</v>
      </c>
      <c r="D119" s="2" t="s">
        <v>64</v>
      </c>
      <c r="E119" s="2">
        <v>19</v>
      </c>
      <c r="F119" s="3">
        <v>104</v>
      </c>
      <c r="G119" s="3">
        <v>84</v>
      </c>
      <c r="H119" s="3">
        <v>216</v>
      </c>
      <c r="I119" s="3">
        <v>167</v>
      </c>
      <c r="J119" s="3">
        <v>290.3</v>
      </c>
      <c r="K119" s="3">
        <v>223</v>
      </c>
      <c r="L119" s="3">
        <v>75</v>
      </c>
      <c r="M119" s="3">
        <v>57</v>
      </c>
      <c r="N119" s="3">
        <v>164</v>
      </c>
      <c r="O119" s="3">
        <v>6</v>
      </c>
      <c r="P119" s="3">
        <v>103</v>
      </c>
      <c r="Q119" s="3">
        <v>47</v>
      </c>
      <c r="R119" s="3">
        <v>1536.3</v>
      </c>
      <c r="S119" s="4">
        <v>1.0242</v>
      </c>
      <c r="T119" s="3">
        <v>0</v>
      </c>
      <c r="U119" s="2" t="s">
        <v>88</v>
      </c>
    </row>
    <row r="120" spans="1:21" ht="13.2">
      <c r="A120" s="2" t="s">
        <v>96</v>
      </c>
      <c r="B120" s="2" t="s">
        <v>97</v>
      </c>
      <c r="C120" s="2" t="s">
        <v>17</v>
      </c>
      <c r="D120" s="2" t="s">
        <v>65</v>
      </c>
      <c r="E120" s="2">
        <v>20</v>
      </c>
      <c r="F120" s="3">
        <v>104</v>
      </c>
      <c r="G120" s="3">
        <v>84</v>
      </c>
      <c r="H120" s="3">
        <v>216</v>
      </c>
      <c r="I120" s="3">
        <v>157</v>
      </c>
      <c r="J120" s="3">
        <v>212</v>
      </c>
      <c r="K120" s="3">
        <v>294</v>
      </c>
      <c r="L120" s="3">
        <v>99</v>
      </c>
      <c r="M120" s="3">
        <v>72</v>
      </c>
      <c r="N120" s="3">
        <v>164</v>
      </c>
      <c r="O120" s="3">
        <v>6</v>
      </c>
      <c r="P120" s="3">
        <v>103</v>
      </c>
      <c r="Q120" s="3">
        <v>47</v>
      </c>
      <c r="R120" s="3">
        <v>1558</v>
      </c>
      <c r="S120" s="4">
        <v>1.0386666666669999</v>
      </c>
      <c r="T120" s="3">
        <v>21.7</v>
      </c>
      <c r="U120" s="2" t="s">
        <v>88</v>
      </c>
    </row>
    <row r="121" spans="1:21" ht="13.2">
      <c r="A121" s="2" t="s">
        <v>96</v>
      </c>
      <c r="B121" s="2" t="s">
        <v>97</v>
      </c>
      <c r="C121" s="2" t="s">
        <v>17</v>
      </c>
      <c r="D121" s="2" t="s">
        <v>66</v>
      </c>
      <c r="E121" s="2">
        <v>21</v>
      </c>
      <c r="F121" s="3">
        <v>104</v>
      </c>
      <c r="G121" s="3">
        <v>84</v>
      </c>
      <c r="H121" s="3">
        <v>216</v>
      </c>
      <c r="I121" s="3">
        <v>157</v>
      </c>
      <c r="J121" s="3">
        <v>212</v>
      </c>
      <c r="K121" s="3">
        <v>294</v>
      </c>
      <c r="L121" s="3">
        <v>99</v>
      </c>
      <c r="M121" s="3">
        <v>72</v>
      </c>
      <c r="N121" s="3">
        <v>164</v>
      </c>
      <c r="O121" s="3">
        <v>6</v>
      </c>
      <c r="P121" s="3">
        <v>103</v>
      </c>
      <c r="Q121" s="3">
        <v>47</v>
      </c>
      <c r="R121" s="3">
        <v>1558</v>
      </c>
      <c r="S121" s="4">
        <v>1.0386666666669999</v>
      </c>
      <c r="T121" s="3">
        <v>0</v>
      </c>
      <c r="U121" s="2" t="s">
        <v>88</v>
      </c>
    </row>
    <row r="122" spans="1:21" ht="13.2">
      <c r="A122" s="2" t="s">
        <v>96</v>
      </c>
      <c r="B122" s="2" t="s">
        <v>97</v>
      </c>
      <c r="C122" s="2" t="s">
        <v>17</v>
      </c>
      <c r="D122" s="2" t="s">
        <v>67</v>
      </c>
      <c r="E122" s="2">
        <v>22</v>
      </c>
      <c r="F122" s="3">
        <v>104</v>
      </c>
      <c r="G122" s="3">
        <v>84</v>
      </c>
      <c r="H122" s="3">
        <v>216</v>
      </c>
      <c r="I122" s="3">
        <v>157</v>
      </c>
      <c r="J122" s="3">
        <v>170</v>
      </c>
      <c r="K122" s="3">
        <v>336</v>
      </c>
      <c r="L122" s="3">
        <v>99</v>
      </c>
      <c r="M122" s="3">
        <v>72</v>
      </c>
      <c r="N122" s="3">
        <v>170</v>
      </c>
      <c r="O122" s="3">
        <v>6</v>
      </c>
      <c r="P122" s="3">
        <v>103</v>
      </c>
      <c r="Q122" s="3">
        <v>47</v>
      </c>
      <c r="R122" s="3">
        <v>1564</v>
      </c>
      <c r="S122" s="4">
        <v>1.0426666666669999</v>
      </c>
      <c r="T122" s="3">
        <v>6</v>
      </c>
      <c r="U122" s="2" t="s">
        <v>88</v>
      </c>
    </row>
    <row r="123" spans="1:21" ht="13.2">
      <c r="A123" s="2" t="s">
        <v>96</v>
      </c>
      <c r="B123" s="2" t="s">
        <v>97</v>
      </c>
      <c r="C123" s="2" t="s">
        <v>17</v>
      </c>
      <c r="D123" s="2" t="s">
        <v>68</v>
      </c>
      <c r="E123" s="2">
        <v>23</v>
      </c>
      <c r="F123" s="3">
        <v>104</v>
      </c>
      <c r="G123" s="3">
        <v>84</v>
      </c>
      <c r="H123" s="3">
        <v>216</v>
      </c>
      <c r="I123" s="3">
        <v>157</v>
      </c>
      <c r="J123" s="3">
        <v>170</v>
      </c>
      <c r="K123" s="3">
        <v>336</v>
      </c>
      <c r="L123" s="3">
        <v>99</v>
      </c>
      <c r="M123" s="3">
        <v>72</v>
      </c>
      <c r="N123" s="3">
        <v>170</v>
      </c>
      <c r="O123" s="3">
        <v>6</v>
      </c>
      <c r="P123" s="3">
        <v>103</v>
      </c>
      <c r="Q123" s="3">
        <v>47</v>
      </c>
      <c r="R123" s="3">
        <v>1564</v>
      </c>
      <c r="S123" s="4">
        <v>1.0426666666669999</v>
      </c>
      <c r="T123" s="3">
        <v>0</v>
      </c>
      <c r="U123" s="2" t="s">
        <v>88</v>
      </c>
    </row>
    <row r="124" spans="1:21" ht="13.2">
      <c r="A124" s="2" t="s">
        <v>96</v>
      </c>
      <c r="B124" s="2" t="s">
        <v>97</v>
      </c>
      <c r="C124" s="2" t="s">
        <v>17</v>
      </c>
      <c r="D124" s="2" t="s">
        <v>69</v>
      </c>
      <c r="E124" s="2">
        <v>24</v>
      </c>
      <c r="F124" s="3">
        <v>104</v>
      </c>
      <c r="G124" s="3">
        <v>84</v>
      </c>
      <c r="H124" s="3">
        <v>216</v>
      </c>
      <c r="I124" s="3">
        <v>157</v>
      </c>
      <c r="J124" s="3">
        <v>170</v>
      </c>
      <c r="K124" s="3">
        <v>284</v>
      </c>
      <c r="L124" s="3">
        <v>145</v>
      </c>
      <c r="M124" s="3">
        <v>85</v>
      </c>
      <c r="N124" s="3">
        <v>170</v>
      </c>
      <c r="O124" s="3">
        <v>6</v>
      </c>
      <c r="P124" s="3">
        <v>103</v>
      </c>
      <c r="Q124" s="3">
        <v>47</v>
      </c>
      <c r="R124" s="3">
        <v>1571</v>
      </c>
      <c r="S124" s="4">
        <v>1.0473333333329999</v>
      </c>
      <c r="T124" s="3">
        <v>7</v>
      </c>
      <c r="U124" s="2" t="s">
        <v>88</v>
      </c>
    </row>
    <row r="125" spans="1:21" ht="13.2">
      <c r="A125" s="2" t="s">
        <v>96</v>
      </c>
      <c r="B125" s="2" t="s">
        <v>97</v>
      </c>
      <c r="C125" s="2" t="s">
        <v>17</v>
      </c>
      <c r="D125" s="2" t="s">
        <v>70</v>
      </c>
      <c r="E125" s="2">
        <v>25</v>
      </c>
      <c r="F125" s="3">
        <v>104</v>
      </c>
      <c r="G125" s="3">
        <v>84</v>
      </c>
      <c r="H125" s="3">
        <v>216</v>
      </c>
      <c r="I125" s="3">
        <v>157</v>
      </c>
      <c r="J125" s="3">
        <v>170</v>
      </c>
      <c r="K125" s="3">
        <v>173</v>
      </c>
      <c r="L125" s="3">
        <v>256</v>
      </c>
      <c r="M125" s="3">
        <v>85</v>
      </c>
      <c r="N125" s="3">
        <v>170</v>
      </c>
      <c r="O125" s="3">
        <v>21</v>
      </c>
      <c r="P125" s="3">
        <v>103</v>
      </c>
      <c r="Q125" s="3">
        <v>47</v>
      </c>
      <c r="R125" s="3">
        <v>1586</v>
      </c>
      <c r="S125" s="4">
        <v>1.0573333333329999</v>
      </c>
      <c r="T125" s="3">
        <v>15</v>
      </c>
      <c r="U125" s="2" t="s">
        <v>88</v>
      </c>
    </row>
    <row r="126" spans="1:21" ht="13.2">
      <c r="A126" s="2" t="s">
        <v>96</v>
      </c>
      <c r="B126" s="2" t="s">
        <v>97</v>
      </c>
      <c r="C126" s="2" t="s">
        <v>17</v>
      </c>
      <c r="D126" s="2" t="s">
        <v>71</v>
      </c>
      <c r="E126" s="2">
        <v>26</v>
      </c>
      <c r="F126" s="3">
        <v>104</v>
      </c>
      <c r="G126" s="3">
        <v>84</v>
      </c>
      <c r="H126" s="3">
        <v>216</v>
      </c>
      <c r="I126" s="3">
        <v>157</v>
      </c>
      <c r="J126" s="3">
        <v>170</v>
      </c>
      <c r="K126" s="3">
        <v>182</v>
      </c>
      <c r="L126" s="3">
        <v>247</v>
      </c>
      <c r="M126" s="3">
        <v>85</v>
      </c>
      <c r="N126" s="3">
        <v>170</v>
      </c>
      <c r="O126" s="3">
        <v>21</v>
      </c>
      <c r="P126" s="3">
        <v>103</v>
      </c>
      <c r="Q126" s="3">
        <v>47</v>
      </c>
      <c r="R126" s="3">
        <v>1586</v>
      </c>
      <c r="S126" s="4">
        <v>1.0573333333329999</v>
      </c>
      <c r="T126" s="3">
        <v>0</v>
      </c>
      <c r="U126" s="2" t="s">
        <v>88</v>
      </c>
    </row>
    <row r="127" spans="1:21" ht="13.2">
      <c r="A127" s="2" t="s">
        <v>96</v>
      </c>
      <c r="B127" s="2" t="s">
        <v>97</v>
      </c>
      <c r="C127" s="2" t="s">
        <v>17</v>
      </c>
      <c r="D127" s="2" t="s">
        <v>72</v>
      </c>
      <c r="E127" s="2">
        <v>27</v>
      </c>
      <c r="F127" s="3">
        <v>104</v>
      </c>
      <c r="G127" s="3">
        <v>84</v>
      </c>
      <c r="H127" s="3">
        <v>216</v>
      </c>
      <c r="I127" s="3">
        <v>157</v>
      </c>
      <c r="J127" s="3">
        <v>170</v>
      </c>
      <c r="K127" s="3">
        <v>185</v>
      </c>
      <c r="L127" s="3">
        <v>144.30000000000001</v>
      </c>
      <c r="M127" s="3">
        <v>61</v>
      </c>
      <c r="N127" s="3">
        <v>201</v>
      </c>
      <c r="O127" s="3">
        <v>157</v>
      </c>
      <c r="P127" s="3">
        <v>157</v>
      </c>
      <c r="Q127" s="3">
        <v>47</v>
      </c>
      <c r="R127" s="3">
        <v>1683.3</v>
      </c>
      <c r="S127" s="4">
        <v>1.1222000000000001</v>
      </c>
      <c r="T127" s="3">
        <v>97.3</v>
      </c>
      <c r="U127" s="2" t="s">
        <v>89</v>
      </c>
    </row>
    <row r="128" spans="1:21" ht="13.2">
      <c r="A128" s="2" t="s">
        <v>96</v>
      </c>
      <c r="B128" s="2" t="s">
        <v>97</v>
      </c>
      <c r="C128" s="2" t="s">
        <v>17</v>
      </c>
      <c r="D128" s="2" t="s">
        <v>73</v>
      </c>
      <c r="E128" s="2">
        <v>28</v>
      </c>
      <c r="F128" s="3">
        <v>104</v>
      </c>
      <c r="G128" s="3">
        <v>84</v>
      </c>
      <c r="H128" s="3">
        <v>216</v>
      </c>
      <c r="I128" s="3">
        <v>157</v>
      </c>
      <c r="J128" s="3">
        <v>170</v>
      </c>
      <c r="K128" s="3">
        <v>185</v>
      </c>
      <c r="L128" s="3">
        <v>72</v>
      </c>
      <c r="M128" s="3">
        <v>97</v>
      </c>
      <c r="N128" s="3">
        <v>237</v>
      </c>
      <c r="O128" s="3">
        <v>157</v>
      </c>
      <c r="P128" s="3">
        <v>157</v>
      </c>
      <c r="Q128" s="3">
        <v>47</v>
      </c>
      <c r="R128" s="3">
        <v>1683</v>
      </c>
      <c r="S128" s="4">
        <v>1.1220000000000001</v>
      </c>
      <c r="T128" s="3">
        <v>-0.3</v>
      </c>
      <c r="U128" s="2" t="s">
        <v>89</v>
      </c>
    </row>
    <row r="129" spans="1:21" ht="13.2">
      <c r="A129" s="2" t="s">
        <v>96</v>
      </c>
      <c r="B129" s="2" t="s">
        <v>97</v>
      </c>
      <c r="C129" s="2" t="s">
        <v>17</v>
      </c>
      <c r="D129" s="2" t="s">
        <v>74</v>
      </c>
      <c r="E129" s="2">
        <v>29</v>
      </c>
      <c r="F129" s="3">
        <v>104</v>
      </c>
      <c r="G129" s="3">
        <v>84</v>
      </c>
      <c r="H129" s="3">
        <v>216</v>
      </c>
      <c r="I129" s="3">
        <v>157</v>
      </c>
      <c r="J129" s="3">
        <v>170</v>
      </c>
      <c r="K129" s="3">
        <v>185</v>
      </c>
      <c r="L129" s="3">
        <v>99.9</v>
      </c>
      <c r="M129" s="3">
        <v>66</v>
      </c>
      <c r="N129" s="3">
        <v>240</v>
      </c>
      <c r="O129" s="3">
        <v>157</v>
      </c>
      <c r="P129" s="3">
        <v>157</v>
      </c>
      <c r="Q129" s="3">
        <v>47</v>
      </c>
      <c r="R129" s="3">
        <v>1682.9</v>
      </c>
      <c r="S129" s="4">
        <v>1.1219333333329999</v>
      </c>
      <c r="T129" s="3">
        <v>-0.1</v>
      </c>
      <c r="U129" s="2" t="s">
        <v>89</v>
      </c>
    </row>
    <row r="130" spans="1:21" ht="13.2">
      <c r="A130" s="2" t="s">
        <v>96</v>
      </c>
      <c r="B130" s="2" t="s">
        <v>97</v>
      </c>
      <c r="C130" s="2" t="s">
        <v>17</v>
      </c>
      <c r="D130" s="2" t="s">
        <v>75</v>
      </c>
      <c r="E130" s="2">
        <v>30</v>
      </c>
      <c r="F130" s="3">
        <v>104</v>
      </c>
      <c r="G130" s="3">
        <v>84</v>
      </c>
      <c r="H130" s="3">
        <v>216</v>
      </c>
      <c r="I130" s="3">
        <v>157</v>
      </c>
      <c r="J130" s="3">
        <v>170</v>
      </c>
      <c r="K130" s="3">
        <v>185</v>
      </c>
      <c r="L130" s="3">
        <v>122.1</v>
      </c>
      <c r="M130" s="3">
        <v>56</v>
      </c>
      <c r="N130" s="3">
        <v>193</v>
      </c>
      <c r="O130" s="3">
        <v>174</v>
      </c>
      <c r="P130" s="3">
        <v>162</v>
      </c>
      <c r="Q130" s="3">
        <v>60</v>
      </c>
      <c r="R130" s="3">
        <v>1683.1</v>
      </c>
      <c r="S130" s="4">
        <v>1.1220666666670001</v>
      </c>
      <c r="T130" s="3">
        <v>0.2</v>
      </c>
      <c r="U130" s="2" t="s">
        <v>89</v>
      </c>
    </row>
    <row r="131" spans="1:21" ht="13.2">
      <c r="A131" s="2" t="s">
        <v>96</v>
      </c>
      <c r="B131" s="2" t="s">
        <v>97</v>
      </c>
      <c r="C131" s="2" t="s">
        <v>17</v>
      </c>
      <c r="D131" s="2" t="s">
        <v>76</v>
      </c>
      <c r="E131" s="2">
        <v>31</v>
      </c>
      <c r="F131" s="3">
        <v>104</v>
      </c>
      <c r="G131" s="3">
        <v>84</v>
      </c>
      <c r="H131" s="3">
        <v>216</v>
      </c>
      <c r="I131" s="3">
        <v>157</v>
      </c>
      <c r="J131" s="3">
        <v>170</v>
      </c>
      <c r="K131" s="3">
        <v>185</v>
      </c>
      <c r="L131" s="3">
        <v>146.19999999999999</v>
      </c>
      <c r="M131" s="3">
        <v>101</v>
      </c>
      <c r="N131" s="3">
        <v>148</v>
      </c>
      <c r="O131" s="3">
        <v>152</v>
      </c>
      <c r="P131" s="3">
        <v>160</v>
      </c>
      <c r="Q131" s="3">
        <v>60</v>
      </c>
      <c r="R131" s="3">
        <v>1683.2</v>
      </c>
      <c r="S131" s="4">
        <v>1.1221333333329999</v>
      </c>
      <c r="T131" s="3">
        <v>0.1</v>
      </c>
      <c r="U131" s="2" t="s">
        <v>89</v>
      </c>
    </row>
    <row r="132" spans="1:21" ht="13.2">
      <c r="A132" s="2" t="s">
        <v>96</v>
      </c>
      <c r="B132" s="2" t="s">
        <v>97</v>
      </c>
      <c r="C132" s="2" t="s">
        <v>17</v>
      </c>
      <c r="D132" s="2" t="s">
        <v>77</v>
      </c>
      <c r="E132" s="2">
        <v>32</v>
      </c>
      <c r="F132" s="3">
        <v>104</v>
      </c>
      <c r="G132" s="3">
        <v>84</v>
      </c>
      <c r="H132" s="3">
        <v>216</v>
      </c>
      <c r="I132" s="3">
        <v>157</v>
      </c>
      <c r="J132" s="3">
        <v>170</v>
      </c>
      <c r="K132" s="3">
        <v>185</v>
      </c>
      <c r="L132" s="3">
        <v>146.19999999999999</v>
      </c>
      <c r="M132" s="3">
        <v>126.6</v>
      </c>
      <c r="N132" s="3">
        <v>128</v>
      </c>
      <c r="O132" s="3">
        <v>146</v>
      </c>
      <c r="P132" s="3">
        <v>160</v>
      </c>
      <c r="Q132" s="3">
        <v>60</v>
      </c>
      <c r="R132" s="3">
        <v>1682.8</v>
      </c>
      <c r="S132" s="4">
        <v>1.1218666666670001</v>
      </c>
      <c r="T132" s="3">
        <v>-0.4</v>
      </c>
      <c r="U132" s="2" t="s">
        <v>89</v>
      </c>
    </row>
    <row r="133" spans="1:21" ht="13.2">
      <c r="A133" s="2" t="s">
        <v>96</v>
      </c>
      <c r="B133" s="2" t="s">
        <v>97</v>
      </c>
      <c r="C133" s="2" t="s">
        <v>17</v>
      </c>
      <c r="D133" s="2" t="s">
        <v>78</v>
      </c>
      <c r="E133" s="2">
        <v>33</v>
      </c>
      <c r="F133" s="3">
        <v>104</v>
      </c>
      <c r="G133" s="3">
        <v>84</v>
      </c>
      <c r="H133" s="3">
        <v>216</v>
      </c>
      <c r="I133" s="3">
        <v>157</v>
      </c>
      <c r="J133" s="3">
        <v>170</v>
      </c>
      <c r="K133" s="3">
        <v>185</v>
      </c>
      <c r="L133" s="3">
        <v>146.19999999999999</v>
      </c>
      <c r="M133" s="3">
        <v>126.6</v>
      </c>
      <c r="N133" s="3">
        <v>128</v>
      </c>
      <c r="O133" s="3">
        <v>146</v>
      </c>
      <c r="P133" s="3">
        <v>160</v>
      </c>
      <c r="Q133" s="3">
        <v>60</v>
      </c>
      <c r="R133" s="3">
        <v>1682.8</v>
      </c>
      <c r="S133" s="4">
        <v>1.1218666666670001</v>
      </c>
      <c r="T133" s="3">
        <v>0</v>
      </c>
      <c r="U133" s="2" t="s">
        <v>98</v>
      </c>
    </row>
    <row r="134" spans="1:21" ht="13.2">
      <c r="A134" s="2" t="s">
        <v>96</v>
      </c>
      <c r="B134" s="2" t="s">
        <v>97</v>
      </c>
      <c r="C134" s="2" t="s">
        <v>17</v>
      </c>
      <c r="D134" s="2" t="s">
        <v>79</v>
      </c>
      <c r="E134" s="2">
        <v>34</v>
      </c>
      <c r="F134" s="3">
        <v>104</v>
      </c>
      <c r="G134" s="3">
        <v>84</v>
      </c>
      <c r="H134" s="3">
        <v>216</v>
      </c>
      <c r="I134" s="3">
        <v>157</v>
      </c>
      <c r="J134" s="3">
        <v>170</v>
      </c>
      <c r="K134" s="3">
        <v>185</v>
      </c>
      <c r="L134" s="3">
        <v>146.19999999999999</v>
      </c>
      <c r="M134" s="3">
        <v>126.6</v>
      </c>
      <c r="N134" s="3">
        <v>128</v>
      </c>
      <c r="O134" s="3">
        <v>146</v>
      </c>
      <c r="P134" s="3">
        <v>160</v>
      </c>
      <c r="Q134" s="3">
        <v>60</v>
      </c>
      <c r="R134" s="3">
        <v>1682.8</v>
      </c>
      <c r="S134" s="4">
        <v>1.1218666666670001</v>
      </c>
      <c r="T134" s="3">
        <v>0</v>
      </c>
      <c r="U134" s="2" t="s">
        <v>98</v>
      </c>
    </row>
    <row r="135" spans="1:21" ht="13.2">
      <c r="A135" s="2" t="s">
        <v>96</v>
      </c>
      <c r="B135" s="2" t="s">
        <v>97</v>
      </c>
      <c r="C135" s="2" t="s">
        <v>17</v>
      </c>
      <c r="D135" s="2" t="s">
        <v>80</v>
      </c>
      <c r="E135" s="2">
        <v>35</v>
      </c>
      <c r="F135" s="3">
        <v>104</v>
      </c>
      <c r="G135" s="3">
        <v>84</v>
      </c>
      <c r="H135" s="3">
        <v>216</v>
      </c>
      <c r="I135" s="3">
        <v>157</v>
      </c>
      <c r="J135" s="3">
        <v>170</v>
      </c>
      <c r="K135" s="3">
        <v>185</v>
      </c>
      <c r="L135" s="3">
        <v>146.19999999999999</v>
      </c>
      <c r="M135" s="3">
        <v>161.80000000000001</v>
      </c>
      <c r="N135" s="3">
        <v>128</v>
      </c>
      <c r="O135" s="3">
        <v>120</v>
      </c>
      <c r="P135" s="3">
        <v>160</v>
      </c>
      <c r="Q135" s="3">
        <v>51</v>
      </c>
      <c r="R135" s="3">
        <v>1683</v>
      </c>
      <c r="S135" s="4">
        <v>1.1220000000000001</v>
      </c>
      <c r="T135" s="3">
        <v>0.2</v>
      </c>
      <c r="U135" s="2" t="s">
        <v>89</v>
      </c>
    </row>
    <row r="136" spans="1:21" ht="13.2">
      <c r="A136" s="2" t="s">
        <v>96</v>
      </c>
      <c r="B136" s="2" t="s">
        <v>97</v>
      </c>
      <c r="C136" s="2" t="s">
        <v>17</v>
      </c>
      <c r="D136" s="2" t="s">
        <v>81</v>
      </c>
      <c r="E136" s="2">
        <v>35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4"/>
      <c r="T136" s="3"/>
      <c r="U136" s="2" t="s">
        <v>90</v>
      </c>
    </row>
    <row r="137" spans="1:21" ht="13.2">
      <c r="A137" s="2" t="s">
        <v>96</v>
      </c>
      <c r="B137" s="2" t="s">
        <v>97</v>
      </c>
      <c r="C137" s="2" t="s">
        <v>17</v>
      </c>
      <c r="D137" s="2" t="s">
        <v>82</v>
      </c>
      <c r="E137" s="2">
        <v>35</v>
      </c>
      <c r="F137" s="3">
        <v>104</v>
      </c>
      <c r="G137" s="3">
        <v>84</v>
      </c>
      <c r="H137" s="3">
        <v>216</v>
      </c>
      <c r="I137" s="3">
        <v>157</v>
      </c>
      <c r="J137" s="3">
        <v>170</v>
      </c>
      <c r="K137" s="3">
        <v>185</v>
      </c>
      <c r="L137" s="3">
        <v>146.19999999999999</v>
      </c>
      <c r="M137" s="3">
        <v>161.80000000000001</v>
      </c>
      <c r="N137" s="3">
        <v>128</v>
      </c>
      <c r="O137" s="3">
        <v>120</v>
      </c>
      <c r="P137" s="3">
        <v>160</v>
      </c>
      <c r="Q137" s="3">
        <v>51</v>
      </c>
      <c r="R137" s="3">
        <v>1683</v>
      </c>
      <c r="S137" s="4">
        <v>1.1220000000000001</v>
      </c>
      <c r="T137" s="3"/>
      <c r="U137" s="2" t="s">
        <v>91</v>
      </c>
    </row>
    <row r="138" spans="1:21" ht="13.2">
      <c r="A138" s="2" t="s">
        <v>99</v>
      </c>
      <c r="B138" s="2" t="s">
        <v>100</v>
      </c>
      <c r="C138" s="2" t="s">
        <v>21</v>
      </c>
      <c r="D138" s="2" t="s">
        <v>12</v>
      </c>
      <c r="E138" s="2">
        <v>0</v>
      </c>
      <c r="F138" s="3">
        <v>542.90126435672005</v>
      </c>
      <c r="G138" s="3">
        <v>620.45858783625999</v>
      </c>
      <c r="H138" s="3">
        <v>542.90126435672005</v>
      </c>
      <c r="I138" s="3">
        <v>517.04882319687999</v>
      </c>
      <c r="J138" s="3">
        <v>499.81386242364999</v>
      </c>
      <c r="K138" s="3">
        <v>534.28378397009999</v>
      </c>
      <c r="L138" s="3">
        <v>499.81386242364999</v>
      </c>
      <c r="M138" s="3">
        <v>517.04882319687999</v>
      </c>
      <c r="N138" s="3">
        <v>499.81386242364999</v>
      </c>
      <c r="O138" s="3">
        <v>534.28378397010999</v>
      </c>
      <c r="P138" s="3">
        <v>499.81386242364999</v>
      </c>
      <c r="Q138" s="3">
        <v>517.04882319687999</v>
      </c>
      <c r="R138" s="3">
        <v>6325.2306037751496</v>
      </c>
      <c r="S138" s="4"/>
      <c r="T138" s="3"/>
      <c r="U138" s="2" t="s">
        <v>87</v>
      </c>
    </row>
    <row r="139" spans="1:21" ht="13.2">
      <c r="A139" s="2" t="s">
        <v>99</v>
      </c>
      <c r="B139" s="2" t="s">
        <v>100</v>
      </c>
      <c r="C139" s="2" t="s">
        <v>21</v>
      </c>
      <c r="D139" s="2" t="s">
        <v>50</v>
      </c>
      <c r="E139" s="2">
        <v>5</v>
      </c>
      <c r="F139" s="3">
        <v>462.71292372881402</v>
      </c>
      <c r="G139" s="3">
        <v>556.97071186440701</v>
      </c>
      <c r="H139" s="3">
        <v>526.25772033898295</v>
      </c>
      <c r="I139" s="3">
        <v>363.63557627118598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1909.57693220339</v>
      </c>
      <c r="S139" s="4">
        <v>0.30189838945399999</v>
      </c>
      <c r="T139" s="3"/>
      <c r="U139" s="2" t="s">
        <v>88</v>
      </c>
    </row>
    <row r="140" spans="1:21" ht="13.2">
      <c r="A140" s="2" t="s">
        <v>99</v>
      </c>
      <c r="B140" s="2" t="s">
        <v>100</v>
      </c>
      <c r="C140" s="2" t="s">
        <v>21</v>
      </c>
      <c r="D140" s="2" t="s">
        <v>51</v>
      </c>
      <c r="E140" s="2">
        <v>6</v>
      </c>
      <c r="F140" s="3">
        <v>461</v>
      </c>
      <c r="G140" s="3">
        <v>556.77966101694904</v>
      </c>
      <c r="H140" s="3">
        <v>526.27118644067798</v>
      </c>
      <c r="I140" s="3">
        <v>466.10169491525397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2010.152542372881</v>
      </c>
      <c r="S140" s="4">
        <v>0.31779909196900002</v>
      </c>
      <c r="T140" s="3">
        <v>100.575610169491</v>
      </c>
      <c r="U140" s="2" t="s">
        <v>88</v>
      </c>
    </row>
    <row r="141" spans="1:21" ht="13.2">
      <c r="A141" s="2" t="s">
        <v>99</v>
      </c>
      <c r="B141" s="2" t="s">
        <v>100</v>
      </c>
      <c r="C141" s="2" t="s">
        <v>21</v>
      </c>
      <c r="D141" s="2" t="s">
        <v>52</v>
      </c>
      <c r="E141" s="2">
        <v>7</v>
      </c>
      <c r="F141" s="3">
        <v>461</v>
      </c>
      <c r="G141" s="3">
        <v>509.94779661016901</v>
      </c>
      <c r="H141" s="3">
        <v>526.25772033898295</v>
      </c>
      <c r="I141" s="3">
        <v>566.71269491525402</v>
      </c>
      <c r="J141" s="3">
        <v>150.075423728814</v>
      </c>
      <c r="K141" s="3">
        <v>101.86779661016899</v>
      </c>
      <c r="L141" s="3">
        <v>33.955932203389999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2349.8173644067801</v>
      </c>
      <c r="S141" s="4">
        <v>0.37149908226299999</v>
      </c>
      <c r="T141" s="3">
        <v>339.66482203389899</v>
      </c>
      <c r="U141" s="2" t="s">
        <v>88</v>
      </c>
    </row>
    <row r="142" spans="1:21" ht="13.2">
      <c r="A142" s="2" t="s">
        <v>99</v>
      </c>
      <c r="B142" s="2" t="s">
        <v>100</v>
      </c>
      <c r="C142" s="2" t="s">
        <v>21</v>
      </c>
      <c r="D142" s="2" t="s">
        <v>53</v>
      </c>
      <c r="E142" s="2">
        <v>8</v>
      </c>
      <c r="F142" s="3">
        <v>461</v>
      </c>
      <c r="G142" s="3">
        <v>515</v>
      </c>
      <c r="H142" s="3">
        <v>526.25772033898295</v>
      </c>
      <c r="I142" s="3">
        <v>563.13811864406796</v>
      </c>
      <c r="J142" s="3">
        <v>196.240474576271</v>
      </c>
      <c r="K142" s="3">
        <v>96.505932203390003</v>
      </c>
      <c r="L142" s="3">
        <v>96.505932203390003</v>
      </c>
      <c r="M142" s="3">
        <v>96.505932203390003</v>
      </c>
      <c r="N142" s="3">
        <v>96.505932203390003</v>
      </c>
      <c r="O142" s="3">
        <v>0</v>
      </c>
      <c r="P142" s="3">
        <v>0</v>
      </c>
      <c r="Q142" s="3">
        <v>64.337288135592999</v>
      </c>
      <c r="R142" s="3">
        <v>2711.997330508475</v>
      </c>
      <c r="S142" s="4">
        <v>0.428758649351</v>
      </c>
      <c r="T142" s="3">
        <v>362.17996610169502</v>
      </c>
      <c r="U142" s="2" t="s">
        <v>88</v>
      </c>
    </row>
    <row r="143" spans="1:21" ht="13.2">
      <c r="A143" s="2" t="s">
        <v>99</v>
      </c>
      <c r="B143" s="2" t="s">
        <v>100</v>
      </c>
      <c r="C143" s="2" t="s">
        <v>21</v>
      </c>
      <c r="D143" s="2" t="s">
        <v>54</v>
      </c>
      <c r="E143" s="2">
        <v>9</v>
      </c>
      <c r="F143" s="3">
        <v>461</v>
      </c>
      <c r="G143" s="3">
        <v>515.48516101694895</v>
      </c>
      <c r="H143" s="3">
        <v>529.185669491525</v>
      </c>
      <c r="I143" s="3">
        <v>538.62161016949199</v>
      </c>
      <c r="J143" s="3">
        <v>502.07308474576303</v>
      </c>
      <c r="K143" s="3">
        <v>366.716084745763</v>
      </c>
      <c r="L143" s="3">
        <v>96.505932203390003</v>
      </c>
      <c r="M143" s="3">
        <v>96.505932203390003</v>
      </c>
      <c r="N143" s="3">
        <v>96.505932203390003</v>
      </c>
      <c r="O143" s="3">
        <v>0</v>
      </c>
      <c r="P143" s="3">
        <v>0</v>
      </c>
      <c r="Q143" s="3">
        <v>64.337288135592999</v>
      </c>
      <c r="R143" s="3">
        <v>3266.9366949152541</v>
      </c>
      <c r="S143" s="4">
        <v>0.51649289955800004</v>
      </c>
      <c r="T143" s="3">
        <v>554.93936440677896</v>
      </c>
      <c r="U143" s="2" t="s">
        <v>88</v>
      </c>
    </row>
    <row r="144" spans="1:21" ht="13.2">
      <c r="A144" s="2" t="s">
        <v>99</v>
      </c>
      <c r="B144" s="2" t="s">
        <v>100</v>
      </c>
      <c r="C144" s="2" t="s">
        <v>21</v>
      </c>
      <c r="D144" s="2" t="s">
        <v>55</v>
      </c>
      <c r="E144" s="2">
        <v>10</v>
      </c>
      <c r="F144" s="3">
        <v>461</v>
      </c>
      <c r="G144" s="3">
        <v>587.28813559321998</v>
      </c>
      <c r="H144" s="3">
        <v>530.41448305084702</v>
      </c>
      <c r="I144" s="3">
        <v>538.343372881356</v>
      </c>
      <c r="J144" s="3">
        <v>502.35132203389799</v>
      </c>
      <c r="K144" s="3">
        <v>366.716084745763</v>
      </c>
      <c r="L144" s="3">
        <v>0</v>
      </c>
      <c r="M144" s="3">
        <v>96.505932203390003</v>
      </c>
      <c r="N144" s="3">
        <v>128.674576271186</v>
      </c>
      <c r="O144" s="3">
        <v>64.337288135592999</v>
      </c>
      <c r="P144" s="3">
        <v>0</v>
      </c>
      <c r="Q144" s="3">
        <v>64.337288135592999</v>
      </c>
      <c r="R144" s="3">
        <v>3339.9684830508481</v>
      </c>
      <c r="S144" s="4">
        <v>0.52803900636599999</v>
      </c>
      <c r="T144" s="3">
        <v>73.031788135593999</v>
      </c>
      <c r="U144" s="2" t="s">
        <v>88</v>
      </c>
    </row>
    <row r="145" spans="1:21" ht="13.2">
      <c r="A145" s="2" t="s">
        <v>99</v>
      </c>
      <c r="B145" s="2" t="s">
        <v>100</v>
      </c>
      <c r="C145" s="2" t="s">
        <v>21</v>
      </c>
      <c r="D145" s="2" t="s">
        <v>56</v>
      </c>
      <c r="E145" s="2">
        <v>11</v>
      </c>
      <c r="F145" s="3">
        <v>461</v>
      </c>
      <c r="G145" s="3">
        <v>517</v>
      </c>
      <c r="H145" s="3">
        <v>484.15177118644101</v>
      </c>
      <c r="I145" s="3">
        <v>502.20572881355901</v>
      </c>
      <c r="J145" s="3">
        <v>491.16911864406802</v>
      </c>
      <c r="K145" s="3">
        <v>524.27745762711902</v>
      </c>
      <c r="L145" s="3">
        <v>0</v>
      </c>
      <c r="M145" s="3">
        <v>96.505932203390003</v>
      </c>
      <c r="N145" s="3">
        <v>128.674576271186</v>
      </c>
      <c r="O145" s="3">
        <v>64.337288135592999</v>
      </c>
      <c r="P145" s="3">
        <v>0</v>
      </c>
      <c r="Q145" s="3">
        <v>64.337288135592999</v>
      </c>
      <c r="R145" s="3">
        <v>3333.6591610169489</v>
      </c>
      <c r="S145" s="4">
        <v>0.52704152146299998</v>
      </c>
      <c r="T145" s="3">
        <v>-6.3093220338989999</v>
      </c>
      <c r="U145" s="2" t="s">
        <v>88</v>
      </c>
    </row>
    <row r="146" spans="1:21" ht="13.2">
      <c r="A146" s="2" t="s">
        <v>99</v>
      </c>
      <c r="B146" s="2" t="s">
        <v>100</v>
      </c>
      <c r="C146" s="2" t="s">
        <v>21</v>
      </c>
      <c r="D146" s="2" t="s">
        <v>57</v>
      </c>
      <c r="E146" s="2">
        <v>12</v>
      </c>
      <c r="F146" s="3">
        <v>461</v>
      </c>
      <c r="G146" s="3">
        <v>517</v>
      </c>
      <c r="H146" s="3">
        <v>484.15177118644101</v>
      </c>
      <c r="I146" s="3">
        <v>517.02776271186406</v>
      </c>
      <c r="J146" s="3">
        <v>505.16064406779702</v>
      </c>
      <c r="K146" s="3">
        <v>535.04440677966102</v>
      </c>
      <c r="L146" s="3">
        <v>90.622449152542004</v>
      </c>
      <c r="M146" s="3">
        <v>96.505932203390003</v>
      </c>
      <c r="N146" s="3">
        <v>128.674576271186</v>
      </c>
      <c r="O146" s="3">
        <v>64.337288135592999</v>
      </c>
      <c r="P146" s="3">
        <v>0</v>
      </c>
      <c r="Q146" s="3">
        <v>64.337288135592999</v>
      </c>
      <c r="R146" s="3">
        <v>3463.8621186440678</v>
      </c>
      <c r="S146" s="4">
        <v>0.54762621880999995</v>
      </c>
      <c r="T146" s="3">
        <v>130.20295762711899</v>
      </c>
      <c r="U146" s="2" t="s">
        <v>88</v>
      </c>
    </row>
    <row r="147" spans="1:21" ht="13.2">
      <c r="A147" s="2" t="s">
        <v>99</v>
      </c>
      <c r="B147" s="2" t="s">
        <v>100</v>
      </c>
      <c r="C147" s="2" t="s">
        <v>21</v>
      </c>
      <c r="D147" s="2" t="s">
        <v>58</v>
      </c>
      <c r="E147" s="2">
        <v>13</v>
      </c>
      <c r="F147" s="3">
        <v>461</v>
      </c>
      <c r="G147" s="3">
        <v>517</v>
      </c>
      <c r="H147" s="3">
        <v>484.78397457627102</v>
      </c>
      <c r="I147" s="3">
        <v>512.37522033898301</v>
      </c>
      <c r="J147" s="3">
        <v>514.89793220339004</v>
      </c>
      <c r="K147" s="3">
        <v>535.04440677966102</v>
      </c>
      <c r="L147" s="3">
        <v>393.22693220338999</v>
      </c>
      <c r="M147" s="3">
        <v>96.505932203390003</v>
      </c>
      <c r="N147" s="3">
        <v>128.674576271186</v>
      </c>
      <c r="O147" s="3">
        <v>64.337288135592999</v>
      </c>
      <c r="P147" s="3">
        <v>0</v>
      </c>
      <c r="Q147" s="3">
        <v>64.337288135592999</v>
      </c>
      <c r="R147" s="3">
        <v>3772.1835508474578</v>
      </c>
      <c r="S147" s="4">
        <v>0.59637091311699997</v>
      </c>
      <c r="T147" s="3">
        <v>308.32143220338997</v>
      </c>
      <c r="U147" s="2" t="s">
        <v>88</v>
      </c>
    </row>
    <row r="148" spans="1:21" ht="13.2">
      <c r="A148" s="2" t="s">
        <v>99</v>
      </c>
      <c r="B148" s="2" t="s">
        <v>100</v>
      </c>
      <c r="C148" s="2" t="s">
        <v>21</v>
      </c>
      <c r="D148" s="2" t="s">
        <v>59</v>
      </c>
      <c r="E148" s="2">
        <v>14</v>
      </c>
      <c r="F148" s="3">
        <v>461</v>
      </c>
      <c r="G148" s="3">
        <v>517</v>
      </c>
      <c r="H148" s="3">
        <v>484.89141525423997</v>
      </c>
      <c r="I148" s="3">
        <v>518.45149152542399</v>
      </c>
      <c r="J148" s="3">
        <v>514.89793220339004</v>
      </c>
      <c r="K148" s="3">
        <v>535.04440677966102</v>
      </c>
      <c r="L148" s="3">
        <v>249.991296610169</v>
      </c>
      <c r="M148" s="3">
        <v>305.256745762712</v>
      </c>
      <c r="N148" s="3">
        <v>128.674576271186</v>
      </c>
      <c r="O148" s="3">
        <v>64.337288135592999</v>
      </c>
      <c r="P148" s="3">
        <v>0</v>
      </c>
      <c r="Q148" s="3">
        <v>64.337288135592999</v>
      </c>
      <c r="R148" s="3">
        <v>3843.882440677969</v>
      </c>
      <c r="S148" s="4">
        <v>0.60770629269800003</v>
      </c>
      <c r="T148" s="3">
        <v>71.698889830511007</v>
      </c>
      <c r="U148" s="2" t="s">
        <v>88</v>
      </c>
    </row>
    <row r="149" spans="1:21" ht="13.2">
      <c r="A149" s="2" t="s">
        <v>99</v>
      </c>
      <c r="B149" s="2" t="s">
        <v>100</v>
      </c>
      <c r="C149" s="2" t="s">
        <v>21</v>
      </c>
      <c r="D149" s="2" t="s">
        <v>60</v>
      </c>
      <c r="E149" s="2">
        <v>15</v>
      </c>
      <c r="F149" s="3">
        <v>461</v>
      </c>
      <c r="G149" s="3">
        <v>517</v>
      </c>
      <c r="H149" s="3">
        <v>484.89141525423997</v>
      </c>
      <c r="I149" s="3">
        <v>518.45149152542399</v>
      </c>
      <c r="J149" s="3">
        <v>514.89793220339004</v>
      </c>
      <c r="K149" s="3">
        <v>535.04440677966102</v>
      </c>
      <c r="L149" s="3">
        <v>249.991296610169</v>
      </c>
      <c r="M149" s="3">
        <v>305.256745762712</v>
      </c>
      <c r="N149" s="3">
        <v>128.674576271186</v>
      </c>
      <c r="O149" s="3">
        <v>64.337288135592999</v>
      </c>
      <c r="P149" s="3">
        <v>0</v>
      </c>
      <c r="Q149" s="3">
        <v>64.337288135592999</v>
      </c>
      <c r="R149" s="3">
        <v>3843.882440677969</v>
      </c>
      <c r="S149" s="4">
        <v>0.60770629269800003</v>
      </c>
      <c r="T149" s="3">
        <v>0</v>
      </c>
      <c r="U149" s="2" t="s">
        <v>88</v>
      </c>
    </row>
    <row r="150" spans="1:21" ht="13.2">
      <c r="A150" s="2" t="s">
        <v>99</v>
      </c>
      <c r="B150" s="2" t="s">
        <v>100</v>
      </c>
      <c r="C150" s="2" t="s">
        <v>21</v>
      </c>
      <c r="D150" s="2" t="s">
        <v>61</v>
      </c>
      <c r="E150" s="2">
        <v>16</v>
      </c>
      <c r="F150" s="3">
        <v>461</v>
      </c>
      <c r="G150" s="3">
        <v>517</v>
      </c>
      <c r="H150" s="3">
        <v>484.89141525423997</v>
      </c>
      <c r="I150" s="3">
        <v>507.94606779661001</v>
      </c>
      <c r="J150" s="3">
        <v>484.25034745762702</v>
      </c>
      <c r="K150" s="3">
        <v>545.36867796610204</v>
      </c>
      <c r="L150" s="3">
        <v>507.82955932203402</v>
      </c>
      <c r="M150" s="3">
        <v>501.82793220338999</v>
      </c>
      <c r="N150" s="3">
        <v>294.541771186441</v>
      </c>
      <c r="O150" s="3">
        <v>64.337288135592999</v>
      </c>
      <c r="P150" s="3">
        <v>0</v>
      </c>
      <c r="Q150" s="3">
        <v>96.505932203390003</v>
      </c>
      <c r="R150" s="3">
        <v>4465.4989915254264</v>
      </c>
      <c r="S150" s="4">
        <v>0.70598200623100005</v>
      </c>
      <c r="T150" s="3">
        <v>621.61655084745701</v>
      </c>
      <c r="U150" s="2" t="s">
        <v>88</v>
      </c>
    </row>
    <row r="151" spans="1:21" ht="13.2">
      <c r="A151" s="2" t="s">
        <v>99</v>
      </c>
      <c r="B151" s="2" t="s">
        <v>100</v>
      </c>
      <c r="C151" s="2" t="s">
        <v>21</v>
      </c>
      <c r="D151" s="2" t="s">
        <v>62</v>
      </c>
      <c r="E151" s="2">
        <v>17</v>
      </c>
      <c r="F151" s="3">
        <v>461</v>
      </c>
      <c r="G151" s="3">
        <v>517</v>
      </c>
      <c r="H151" s="3">
        <v>484.89141525423997</v>
      </c>
      <c r="I151" s="3">
        <v>499.17911864406801</v>
      </c>
      <c r="J151" s="3">
        <v>484.25034745762702</v>
      </c>
      <c r="K151" s="3">
        <v>545.36867796610204</v>
      </c>
      <c r="L151" s="3">
        <v>521.17277966101699</v>
      </c>
      <c r="M151" s="3">
        <v>501.82793220338999</v>
      </c>
      <c r="N151" s="3">
        <v>372.10956779661001</v>
      </c>
      <c r="O151" s="3">
        <v>143.83050847457599</v>
      </c>
      <c r="P151" s="3">
        <v>79.493220338982994</v>
      </c>
      <c r="Q151" s="3">
        <v>96.505932203390003</v>
      </c>
      <c r="R151" s="3">
        <v>4706.6295000000027</v>
      </c>
      <c r="S151" s="4">
        <v>0.74410401688600003</v>
      </c>
      <c r="T151" s="3">
        <v>241.130508474576</v>
      </c>
      <c r="U151" s="2" t="s">
        <v>88</v>
      </c>
    </row>
    <row r="152" spans="1:21" ht="13.2">
      <c r="A152" s="2" t="s">
        <v>99</v>
      </c>
      <c r="B152" s="2" t="s">
        <v>100</v>
      </c>
      <c r="C152" s="2" t="s">
        <v>21</v>
      </c>
      <c r="D152" s="2" t="s">
        <v>63</v>
      </c>
      <c r="E152" s="2">
        <v>18</v>
      </c>
      <c r="F152" s="3">
        <v>461</v>
      </c>
      <c r="G152" s="3">
        <v>517</v>
      </c>
      <c r="H152" s="3">
        <v>484.89141525423997</v>
      </c>
      <c r="I152" s="3">
        <v>502.57742372881398</v>
      </c>
      <c r="J152" s="3">
        <v>484.85458474576302</v>
      </c>
      <c r="K152" s="3">
        <v>545.36867796610204</v>
      </c>
      <c r="L152" s="3">
        <v>521.17277966101699</v>
      </c>
      <c r="M152" s="3">
        <v>501.82793220338999</v>
      </c>
      <c r="N152" s="3">
        <v>372.10956779661001</v>
      </c>
      <c r="O152" s="3">
        <v>205.18135593220299</v>
      </c>
      <c r="P152" s="3">
        <v>140.84406779661001</v>
      </c>
      <c r="Q152" s="3">
        <v>127.181355932203</v>
      </c>
      <c r="R152" s="3">
        <v>4864.009161016952</v>
      </c>
      <c r="S152" s="4">
        <v>0.76898526958299995</v>
      </c>
      <c r="T152" s="3">
        <v>157.379661016949</v>
      </c>
      <c r="U152" s="2" t="s">
        <v>88</v>
      </c>
    </row>
    <row r="153" spans="1:21" ht="13.2">
      <c r="A153" s="2" t="s">
        <v>99</v>
      </c>
      <c r="B153" s="2" t="s">
        <v>100</v>
      </c>
      <c r="C153" s="2" t="s">
        <v>21</v>
      </c>
      <c r="D153" s="2" t="s">
        <v>64</v>
      </c>
      <c r="E153" s="2">
        <v>19</v>
      </c>
      <c r="F153" s="3">
        <v>461</v>
      </c>
      <c r="G153" s="3">
        <v>517</v>
      </c>
      <c r="H153" s="3">
        <v>484.89141525423997</v>
      </c>
      <c r="I153" s="3">
        <v>502.57742372881398</v>
      </c>
      <c r="J153" s="3">
        <v>491.39865254237299</v>
      </c>
      <c r="K153" s="3">
        <v>546.36020338983099</v>
      </c>
      <c r="L153" s="3">
        <v>557.74798305084698</v>
      </c>
      <c r="M153" s="3">
        <v>502.81945762711899</v>
      </c>
      <c r="N153" s="3">
        <v>343.74092372881398</v>
      </c>
      <c r="O153" s="3">
        <v>206.17288135593199</v>
      </c>
      <c r="P153" s="3">
        <v>141.83559322033901</v>
      </c>
      <c r="Q153" s="3">
        <v>128.17288135593199</v>
      </c>
      <c r="R153" s="3">
        <v>4883.7174152542402</v>
      </c>
      <c r="S153" s="4">
        <v>0.77210108550699996</v>
      </c>
      <c r="T153" s="3">
        <v>19.708254237287999</v>
      </c>
      <c r="U153" s="2" t="s">
        <v>88</v>
      </c>
    </row>
    <row r="154" spans="1:21" ht="13.2">
      <c r="A154" s="2" t="s">
        <v>99</v>
      </c>
      <c r="B154" s="2" t="s">
        <v>100</v>
      </c>
      <c r="C154" s="2" t="s">
        <v>21</v>
      </c>
      <c r="D154" s="2" t="s">
        <v>65</v>
      </c>
      <c r="E154" s="2">
        <v>20</v>
      </c>
      <c r="F154" s="3">
        <v>461</v>
      </c>
      <c r="G154" s="3">
        <v>517</v>
      </c>
      <c r="H154" s="3">
        <v>484.89141525423997</v>
      </c>
      <c r="I154" s="3">
        <v>502.57742372881398</v>
      </c>
      <c r="J154" s="3">
        <v>516.13390677966095</v>
      </c>
      <c r="K154" s="3">
        <v>547.501728813559</v>
      </c>
      <c r="L154" s="3">
        <v>557.74798305084698</v>
      </c>
      <c r="M154" s="3">
        <v>501.40190677966098</v>
      </c>
      <c r="N154" s="3">
        <v>358.30169491525402</v>
      </c>
      <c r="O154" s="3">
        <v>193.02966101694901</v>
      </c>
      <c r="P154" s="3">
        <v>141.83559322033901</v>
      </c>
      <c r="Q154" s="3">
        <v>128.17288135593199</v>
      </c>
      <c r="R154" s="3">
        <v>4909.5941949152566</v>
      </c>
      <c r="S154" s="4">
        <v>0.77619212681100003</v>
      </c>
      <c r="T154" s="3">
        <v>25.876779661015998</v>
      </c>
      <c r="U154" s="2" t="s">
        <v>88</v>
      </c>
    </row>
    <row r="155" spans="1:21" ht="13.2">
      <c r="A155" s="2" t="s">
        <v>99</v>
      </c>
      <c r="B155" s="2" t="s">
        <v>100</v>
      </c>
      <c r="C155" s="2" t="s">
        <v>21</v>
      </c>
      <c r="D155" s="2" t="s">
        <v>66</v>
      </c>
      <c r="E155" s="2">
        <v>21</v>
      </c>
      <c r="F155" s="3">
        <v>461</v>
      </c>
      <c r="G155" s="3">
        <v>517</v>
      </c>
      <c r="H155" s="3">
        <v>484.89141525423997</v>
      </c>
      <c r="I155" s="3">
        <v>502.57742372881398</v>
      </c>
      <c r="J155" s="3">
        <v>524.35090677966105</v>
      </c>
      <c r="K155" s="3">
        <v>547.501728813559</v>
      </c>
      <c r="L155" s="3">
        <v>557.74798305084698</v>
      </c>
      <c r="M155" s="3">
        <v>501.40190677966098</v>
      </c>
      <c r="N155" s="3">
        <v>358.30169491525402</v>
      </c>
      <c r="O155" s="3">
        <v>264.25</v>
      </c>
      <c r="P155" s="3">
        <v>141.83559322033901</v>
      </c>
      <c r="Q155" s="3">
        <v>128.17288135593199</v>
      </c>
      <c r="R155" s="3">
        <v>4989.0315338983082</v>
      </c>
      <c r="S155" s="4">
        <v>0.78875093200900004</v>
      </c>
      <c r="T155" s="3">
        <v>79.437338983052001</v>
      </c>
      <c r="U155" s="2" t="s">
        <v>88</v>
      </c>
    </row>
    <row r="156" spans="1:21" ht="13.2">
      <c r="A156" s="2" t="s">
        <v>99</v>
      </c>
      <c r="B156" s="2" t="s">
        <v>100</v>
      </c>
      <c r="C156" s="2" t="s">
        <v>21</v>
      </c>
      <c r="D156" s="2" t="s">
        <v>67</v>
      </c>
      <c r="E156" s="2">
        <v>22</v>
      </c>
      <c r="F156" s="3">
        <v>461</v>
      </c>
      <c r="G156" s="3">
        <v>517</v>
      </c>
      <c r="H156" s="3">
        <v>484.89141525423997</v>
      </c>
      <c r="I156" s="3">
        <v>502.57742372881398</v>
      </c>
      <c r="J156" s="3">
        <v>535.031415254237</v>
      </c>
      <c r="K156" s="3">
        <v>540.48223728813605</v>
      </c>
      <c r="L156" s="3">
        <v>557.74798305084698</v>
      </c>
      <c r="M156" s="3">
        <v>501.40190677966098</v>
      </c>
      <c r="N156" s="3">
        <v>358.30169491525402</v>
      </c>
      <c r="O156" s="3">
        <v>264.25</v>
      </c>
      <c r="P156" s="3">
        <v>141.83559322033901</v>
      </c>
      <c r="Q156" s="3">
        <v>128.17288135593199</v>
      </c>
      <c r="R156" s="3">
        <v>4992.6925508474606</v>
      </c>
      <c r="S156" s="4">
        <v>0.78932972781499999</v>
      </c>
      <c r="T156" s="3">
        <v>3.6610169491520002</v>
      </c>
      <c r="U156" s="2" t="s">
        <v>88</v>
      </c>
    </row>
    <row r="157" spans="1:21" ht="13.2">
      <c r="A157" s="2" t="s">
        <v>99</v>
      </c>
      <c r="B157" s="2" t="s">
        <v>100</v>
      </c>
      <c r="C157" s="2" t="s">
        <v>21</v>
      </c>
      <c r="D157" s="2" t="s">
        <v>68</v>
      </c>
      <c r="E157" s="2">
        <v>23</v>
      </c>
      <c r="F157" s="3">
        <v>461</v>
      </c>
      <c r="G157" s="3">
        <v>517</v>
      </c>
      <c r="H157" s="3">
        <v>484.89141525423997</v>
      </c>
      <c r="I157" s="3">
        <v>502.57742372881398</v>
      </c>
      <c r="J157" s="3">
        <v>535.031415254237</v>
      </c>
      <c r="K157" s="3">
        <v>554.70257627118599</v>
      </c>
      <c r="L157" s="3">
        <v>557.74798305084698</v>
      </c>
      <c r="M157" s="3">
        <v>501.40190677966098</v>
      </c>
      <c r="N157" s="3">
        <v>358.30169491525402</v>
      </c>
      <c r="O157" s="3">
        <v>264.25</v>
      </c>
      <c r="P157" s="3">
        <v>141.83559322033901</v>
      </c>
      <c r="Q157" s="3">
        <v>128.17288135593199</v>
      </c>
      <c r="R157" s="3">
        <v>5006.9128898305107</v>
      </c>
      <c r="S157" s="4">
        <v>0.79157792078599998</v>
      </c>
      <c r="T157" s="3">
        <v>14.22033898305</v>
      </c>
      <c r="U157" s="2" t="s">
        <v>88</v>
      </c>
    </row>
    <row r="158" spans="1:21" ht="13.2">
      <c r="A158" s="2" t="s">
        <v>99</v>
      </c>
      <c r="B158" s="2" t="s">
        <v>100</v>
      </c>
      <c r="C158" s="2" t="s">
        <v>21</v>
      </c>
      <c r="D158" s="2" t="s">
        <v>69</v>
      </c>
      <c r="E158" s="2">
        <v>24</v>
      </c>
      <c r="F158" s="3">
        <v>461</v>
      </c>
      <c r="G158" s="3">
        <v>517</v>
      </c>
      <c r="H158" s="3">
        <v>484.89141525423997</v>
      </c>
      <c r="I158" s="3">
        <v>502.57742372881398</v>
      </c>
      <c r="J158" s="3">
        <v>535.031415254237</v>
      </c>
      <c r="K158" s="3">
        <v>510.78766101694902</v>
      </c>
      <c r="L158" s="3">
        <v>544.40476271186401</v>
      </c>
      <c r="M158" s="3">
        <v>501.40190677966098</v>
      </c>
      <c r="N158" s="3">
        <v>528.51753389830503</v>
      </c>
      <c r="O158" s="3">
        <v>264.25</v>
      </c>
      <c r="P158" s="3">
        <v>141.83559322033901</v>
      </c>
      <c r="Q158" s="3">
        <v>128.17288135593199</v>
      </c>
      <c r="R158" s="3">
        <v>5119.870593220342</v>
      </c>
      <c r="S158" s="4">
        <v>0.80943619512700005</v>
      </c>
      <c r="T158" s="3">
        <v>112.957703389831</v>
      </c>
      <c r="U158" s="2" t="s">
        <v>88</v>
      </c>
    </row>
    <row r="159" spans="1:21" ht="13.2">
      <c r="A159" s="2" t="s">
        <v>99</v>
      </c>
      <c r="B159" s="2" t="s">
        <v>100</v>
      </c>
      <c r="C159" s="2" t="s">
        <v>21</v>
      </c>
      <c r="D159" s="2" t="s">
        <v>70</v>
      </c>
      <c r="E159" s="2">
        <v>25</v>
      </c>
      <c r="F159" s="3">
        <v>461</v>
      </c>
      <c r="G159" s="3">
        <v>517</v>
      </c>
      <c r="H159" s="3">
        <v>484.89141525423997</v>
      </c>
      <c r="I159" s="3">
        <v>502.57742372881398</v>
      </c>
      <c r="J159" s="3">
        <v>535.031415254237</v>
      </c>
      <c r="K159" s="3">
        <v>516.38732203389804</v>
      </c>
      <c r="L159" s="3">
        <v>557.63440677966105</v>
      </c>
      <c r="M159" s="3">
        <v>574.32098305084799</v>
      </c>
      <c r="N159" s="3">
        <v>519.73702542372905</v>
      </c>
      <c r="O159" s="3">
        <v>437.504838983051</v>
      </c>
      <c r="P159" s="3">
        <v>141.83559322033901</v>
      </c>
      <c r="Q159" s="3">
        <v>128.17288135593199</v>
      </c>
      <c r="R159" s="3">
        <v>5376.0933050847489</v>
      </c>
      <c r="S159" s="4">
        <v>0.849944237903</v>
      </c>
      <c r="T159" s="3">
        <v>256.22271186440702</v>
      </c>
      <c r="U159" s="2" t="s">
        <v>88</v>
      </c>
    </row>
    <row r="160" spans="1:21" ht="13.2">
      <c r="A160" s="2" t="s">
        <v>99</v>
      </c>
      <c r="B160" s="2" t="s">
        <v>100</v>
      </c>
      <c r="C160" s="2" t="s">
        <v>21</v>
      </c>
      <c r="D160" s="2" t="s">
        <v>71</v>
      </c>
      <c r="E160" s="2">
        <v>26</v>
      </c>
      <c r="F160" s="3">
        <v>461</v>
      </c>
      <c r="G160" s="3">
        <v>517</v>
      </c>
      <c r="H160" s="3">
        <v>484.89141525423997</v>
      </c>
      <c r="I160" s="3">
        <v>502.57742372881398</v>
      </c>
      <c r="J160" s="3">
        <v>535.031415254237</v>
      </c>
      <c r="K160" s="3">
        <v>516.38732203389804</v>
      </c>
      <c r="L160" s="3">
        <v>557.63440677966105</v>
      </c>
      <c r="M160" s="3">
        <v>574.32098305084799</v>
      </c>
      <c r="N160" s="3">
        <v>524.41499152542406</v>
      </c>
      <c r="O160" s="3">
        <v>437.504838983051</v>
      </c>
      <c r="P160" s="3">
        <v>141.83559322033901</v>
      </c>
      <c r="Q160" s="3">
        <v>128.17288135593199</v>
      </c>
      <c r="R160" s="3">
        <v>5380.7712711864433</v>
      </c>
      <c r="S160" s="4">
        <v>0.85068381032200002</v>
      </c>
      <c r="T160" s="3">
        <v>4.6779661016940004</v>
      </c>
      <c r="U160" s="2" t="s">
        <v>88</v>
      </c>
    </row>
    <row r="161" spans="1:21" ht="13.2">
      <c r="A161" s="2" t="s">
        <v>99</v>
      </c>
      <c r="B161" s="2" t="s">
        <v>100</v>
      </c>
      <c r="C161" s="2" t="s">
        <v>21</v>
      </c>
      <c r="D161" s="2" t="s">
        <v>72</v>
      </c>
      <c r="E161" s="2">
        <v>27</v>
      </c>
      <c r="F161" s="3">
        <v>461</v>
      </c>
      <c r="G161" s="3">
        <v>517</v>
      </c>
      <c r="H161" s="3">
        <v>484.89141525423997</v>
      </c>
      <c r="I161" s="3">
        <v>502.57742372881398</v>
      </c>
      <c r="J161" s="3">
        <v>535.031415254237</v>
      </c>
      <c r="K161" s="3">
        <v>516.38732203389895</v>
      </c>
      <c r="L161" s="3">
        <v>560.52189830508496</v>
      </c>
      <c r="M161" s="3">
        <v>581.434152542373</v>
      </c>
      <c r="N161" s="3">
        <v>578.33319491525401</v>
      </c>
      <c r="O161" s="3">
        <v>504.92165254237301</v>
      </c>
      <c r="P161" s="3">
        <v>190.04322033898299</v>
      </c>
      <c r="Q161" s="3">
        <v>194.36355932203401</v>
      </c>
      <c r="R161" s="3">
        <v>5626.5052542372923</v>
      </c>
      <c r="S161" s="4">
        <v>0.88953361650999996</v>
      </c>
      <c r="T161" s="3">
        <v>245.73398305084899</v>
      </c>
      <c r="U161" s="2" t="s">
        <v>89</v>
      </c>
    </row>
    <row r="162" spans="1:21" ht="13.2">
      <c r="A162" s="2" t="s">
        <v>99</v>
      </c>
      <c r="B162" s="2" t="s">
        <v>100</v>
      </c>
      <c r="C162" s="2" t="s">
        <v>21</v>
      </c>
      <c r="D162" s="2" t="s">
        <v>73</v>
      </c>
      <c r="E162" s="2">
        <v>28</v>
      </c>
      <c r="F162" s="3">
        <v>461</v>
      </c>
      <c r="G162" s="3">
        <v>517</v>
      </c>
      <c r="H162" s="3">
        <v>484.89141525423997</v>
      </c>
      <c r="I162" s="3">
        <v>502.57742372881398</v>
      </c>
      <c r="J162" s="3">
        <v>535.031415254237</v>
      </c>
      <c r="K162" s="3">
        <v>516.38732203389895</v>
      </c>
      <c r="L162" s="3">
        <v>542.54587288135599</v>
      </c>
      <c r="M162" s="3">
        <v>564.56590677966096</v>
      </c>
      <c r="N162" s="3">
        <v>567.86372881355896</v>
      </c>
      <c r="O162" s="3">
        <v>516.98087288135605</v>
      </c>
      <c r="P162" s="3">
        <v>308.12711016949203</v>
      </c>
      <c r="Q162" s="3">
        <v>194.36355932203401</v>
      </c>
      <c r="R162" s="3">
        <v>5711.3346271186483</v>
      </c>
      <c r="S162" s="4">
        <v>0.90294488610599999</v>
      </c>
      <c r="T162" s="3">
        <v>84.829372881355994</v>
      </c>
      <c r="U162" s="2" t="s">
        <v>89</v>
      </c>
    </row>
    <row r="163" spans="1:21" ht="13.2">
      <c r="A163" s="2" t="s">
        <v>99</v>
      </c>
      <c r="B163" s="2" t="s">
        <v>100</v>
      </c>
      <c r="C163" s="2" t="s">
        <v>21</v>
      </c>
      <c r="D163" s="2" t="s">
        <v>74</v>
      </c>
      <c r="E163" s="2">
        <v>29</v>
      </c>
      <c r="F163" s="3">
        <v>461</v>
      </c>
      <c r="G163" s="3">
        <v>517</v>
      </c>
      <c r="H163" s="3">
        <v>484.89141525423997</v>
      </c>
      <c r="I163" s="3">
        <v>502.57742372881398</v>
      </c>
      <c r="J163" s="3">
        <v>535.031415254237</v>
      </c>
      <c r="K163" s="3">
        <v>516.38732203389895</v>
      </c>
      <c r="L163" s="3">
        <v>542.54587288135599</v>
      </c>
      <c r="M163" s="3">
        <v>564.56590677966096</v>
      </c>
      <c r="N163" s="3">
        <v>567.86372881355896</v>
      </c>
      <c r="O163" s="3">
        <v>586.19129661016996</v>
      </c>
      <c r="P163" s="3">
        <v>308.12711016949203</v>
      </c>
      <c r="Q163" s="3">
        <v>194.36355932203401</v>
      </c>
      <c r="R163" s="3">
        <v>5780.5450508474623</v>
      </c>
      <c r="S163" s="4">
        <v>0.91388684665499997</v>
      </c>
      <c r="T163" s="3">
        <v>69.210423728814007</v>
      </c>
      <c r="U163" s="2" t="s">
        <v>89</v>
      </c>
    </row>
    <row r="164" spans="1:21" ht="13.2">
      <c r="A164" s="2" t="s">
        <v>99</v>
      </c>
      <c r="B164" s="2" t="s">
        <v>100</v>
      </c>
      <c r="C164" s="2" t="s">
        <v>21</v>
      </c>
      <c r="D164" s="2" t="s">
        <v>75</v>
      </c>
      <c r="E164" s="2">
        <v>30</v>
      </c>
      <c r="F164" s="3">
        <v>461</v>
      </c>
      <c r="G164" s="3">
        <v>517</v>
      </c>
      <c r="H164" s="3">
        <v>484.89141525423997</v>
      </c>
      <c r="I164" s="3">
        <v>502.57742372881</v>
      </c>
      <c r="J164" s="3">
        <v>535.03141525423996</v>
      </c>
      <c r="K164" s="3">
        <v>516.38732203389998</v>
      </c>
      <c r="L164" s="3">
        <v>542.54587288134996</v>
      </c>
      <c r="M164" s="3">
        <v>564.56590677966005</v>
      </c>
      <c r="N164" s="3">
        <v>639.38951448754005</v>
      </c>
      <c r="O164" s="3">
        <v>622.85478914748001</v>
      </c>
      <c r="P164" s="3">
        <v>340.94960169490997</v>
      </c>
      <c r="Q164" s="3">
        <v>335.20762711864</v>
      </c>
      <c r="R164" s="3">
        <v>6062.4008883808001</v>
      </c>
      <c r="S164" s="4">
        <v>0.958447409769</v>
      </c>
      <c r="T164" s="3">
        <v>281.85583753333799</v>
      </c>
      <c r="U164" s="2" t="s">
        <v>89</v>
      </c>
    </row>
    <row r="165" spans="1:21" ht="13.2">
      <c r="A165" s="2" t="s">
        <v>99</v>
      </c>
      <c r="B165" s="2" t="s">
        <v>100</v>
      </c>
      <c r="C165" s="2" t="s">
        <v>21</v>
      </c>
      <c r="D165" s="2" t="s">
        <v>76</v>
      </c>
      <c r="E165" s="2">
        <v>31</v>
      </c>
      <c r="F165" s="3">
        <v>461</v>
      </c>
      <c r="G165" s="3">
        <v>517</v>
      </c>
      <c r="H165" s="3">
        <v>484.89141525423997</v>
      </c>
      <c r="I165" s="3">
        <v>502.57742372881</v>
      </c>
      <c r="J165" s="3">
        <v>535.03141525423996</v>
      </c>
      <c r="K165" s="3">
        <v>516.38732203389998</v>
      </c>
      <c r="L165" s="3">
        <v>419.42227118646002</v>
      </c>
      <c r="M165" s="3">
        <v>689.73611864406996</v>
      </c>
      <c r="N165" s="3">
        <v>639.38951448754005</v>
      </c>
      <c r="O165" s="3">
        <v>622.85478914748001</v>
      </c>
      <c r="P165" s="3">
        <v>340.94960169491998</v>
      </c>
      <c r="Q165" s="3">
        <v>335.20762711864</v>
      </c>
      <c r="R165" s="3">
        <v>6064.4474985503002</v>
      </c>
      <c r="S165" s="4">
        <v>0.95877097270300005</v>
      </c>
      <c r="T165" s="3">
        <v>2.0466101695000001</v>
      </c>
      <c r="U165" s="2" t="s">
        <v>89</v>
      </c>
    </row>
    <row r="166" spans="1:21" ht="13.2">
      <c r="A166" s="2" t="s">
        <v>99</v>
      </c>
      <c r="B166" s="2" t="s">
        <v>100</v>
      </c>
      <c r="C166" s="2" t="s">
        <v>21</v>
      </c>
      <c r="D166" s="2" t="s">
        <v>77</v>
      </c>
      <c r="E166" s="2">
        <v>32</v>
      </c>
      <c r="F166" s="3">
        <v>461</v>
      </c>
      <c r="G166" s="3">
        <v>517</v>
      </c>
      <c r="H166" s="3">
        <v>484.89141525423997</v>
      </c>
      <c r="I166" s="3">
        <v>502.57742372881</v>
      </c>
      <c r="J166" s="3">
        <v>535.03141525423996</v>
      </c>
      <c r="K166" s="3">
        <v>516.38732203389998</v>
      </c>
      <c r="L166" s="3">
        <v>419.42227118646002</v>
      </c>
      <c r="M166" s="3">
        <v>691.86016101689995</v>
      </c>
      <c r="N166" s="3">
        <v>639.38951448754005</v>
      </c>
      <c r="O166" s="3">
        <v>622.85478914748001</v>
      </c>
      <c r="P166" s="3">
        <v>385.11493220339003</v>
      </c>
      <c r="Q166" s="3">
        <v>335.20762711864</v>
      </c>
      <c r="R166" s="3">
        <v>6110.7368714315999</v>
      </c>
      <c r="S166" s="4">
        <v>0.96608918381300002</v>
      </c>
      <c r="T166" s="3">
        <v>46.289372881299997</v>
      </c>
      <c r="U166" s="2" t="s">
        <v>89</v>
      </c>
    </row>
    <row r="167" spans="1:21" ht="13.2">
      <c r="A167" s="2" t="s">
        <v>99</v>
      </c>
      <c r="B167" s="2" t="s">
        <v>100</v>
      </c>
      <c r="C167" s="2" t="s">
        <v>21</v>
      </c>
      <c r="D167" s="2" t="s">
        <v>78</v>
      </c>
      <c r="E167" s="2">
        <v>33</v>
      </c>
      <c r="F167" s="3">
        <v>461</v>
      </c>
      <c r="G167" s="3">
        <v>517</v>
      </c>
      <c r="H167" s="3">
        <v>484.89141525423997</v>
      </c>
      <c r="I167" s="3">
        <v>502.57742372881</v>
      </c>
      <c r="J167" s="3">
        <v>535.03141525423996</v>
      </c>
      <c r="K167" s="3">
        <v>516.38732203389998</v>
      </c>
      <c r="L167" s="3">
        <v>419.42227118646002</v>
      </c>
      <c r="M167" s="3">
        <v>597.27352542375002</v>
      </c>
      <c r="N167" s="3">
        <v>637.41765254236998</v>
      </c>
      <c r="O167" s="3">
        <v>652.61091224775998</v>
      </c>
      <c r="P167" s="3">
        <v>629.38561172623997</v>
      </c>
      <c r="Q167" s="3">
        <v>361.61788135593002</v>
      </c>
      <c r="R167" s="3">
        <v>6314.6154307536999</v>
      </c>
      <c r="S167" s="4">
        <v>0.99832177296199998</v>
      </c>
      <c r="T167" s="3">
        <v>203.87855932209999</v>
      </c>
      <c r="U167" s="2" t="s">
        <v>89</v>
      </c>
    </row>
    <row r="168" spans="1:21" ht="13.2">
      <c r="A168" s="2" t="s">
        <v>99</v>
      </c>
      <c r="B168" s="2" t="s">
        <v>100</v>
      </c>
      <c r="C168" s="2" t="s">
        <v>21</v>
      </c>
      <c r="D168" s="2" t="s">
        <v>79</v>
      </c>
      <c r="E168" s="2">
        <v>34</v>
      </c>
      <c r="F168" s="3">
        <v>461</v>
      </c>
      <c r="G168" s="3">
        <v>517</v>
      </c>
      <c r="H168" s="3">
        <v>484.89141525423997</v>
      </c>
      <c r="I168" s="3">
        <v>502.57742372881</v>
      </c>
      <c r="J168" s="3">
        <v>535.03141525423996</v>
      </c>
      <c r="K168" s="3">
        <v>516.38732203389998</v>
      </c>
      <c r="L168" s="3">
        <v>419.42227118646002</v>
      </c>
      <c r="M168" s="3">
        <v>597.27352542371</v>
      </c>
      <c r="N168" s="3">
        <v>594.67923728814003</v>
      </c>
      <c r="O168" s="3">
        <v>634.21935292572005</v>
      </c>
      <c r="P168" s="3">
        <v>629.38561172623997</v>
      </c>
      <c r="Q168" s="3">
        <v>482.52709322034002</v>
      </c>
      <c r="R168" s="3">
        <v>6374.3946680418003</v>
      </c>
      <c r="S168" s="4">
        <v>1.007772691202</v>
      </c>
      <c r="T168" s="3">
        <v>59.779237288099999</v>
      </c>
      <c r="U168" s="2" t="s">
        <v>89</v>
      </c>
    </row>
    <row r="169" spans="1:21" ht="13.2">
      <c r="A169" s="2" t="s">
        <v>99</v>
      </c>
      <c r="B169" s="2" t="s">
        <v>100</v>
      </c>
      <c r="C169" s="2" t="s">
        <v>21</v>
      </c>
      <c r="D169" s="2" t="s">
        <v>80</v>
      </c>
      <c r="E169" s="2">
        <v>35</v>
      </c>
      <c r="F169" s="3">
        <v>461</v>
      </c>
      <c r="G169" s="3">
        <v>517</v>
      </c>
      <c r="H169" s="3">
        <v>484.89141525423997</v>
      </c>
      <c r="I169" s="3">
        <v>502.57742372881</v>
      </c>
      <c r="J169" s="3">
        <v>535.03141525423996</v>
      </c>
      <c r="K169" s="3">
        <v>516.38732203389998</v>
      </c>
      <c r="L169" s="3">
        <v>419.42227118646002</v>
      </c>
      <c r="M169" s="3">
        <v>597.27352542369999</v>
      </c>
      <c r="N169" s="3">
        <v>594.67923728814003</v>
      </c>
      <c r="O169" s="3">
        <v>634.21935292572005</v>
      </c>
      <c r="P169" s="3">
        <v>568.13984901438005</v>
      </c>
      <c r="Q169" s="3">
        <v>601.76692372880996</v>
      </c>
      <c r="R169" s="3">
        <v>6432.3887358384</v>
      </c>
      <c r="S169" s="4">
        <v>1.0169413794969999</v>
      </c>
      <c r="T169" s="3">
        <v>57.9940677966</v>
      </c>
      <c r="U169" s="2" t="s">
        <v>89</v>
      </c>
    </row>
    <row r="170" spans="1:21" ht="13.2">
      <c r="A170" s="2" t="s">
        <v>99</v>
      </c>
      <c r="B170" s="2" t="s">
        <v>100</v>
      </c>
      <c r="C170" s="2" t="s">
        <v>21</v>
      </c>
      <c r="D170" s="2" t="s">
        <v>81</v>
      </c>
      <c r="E170" s="2">
        <v>35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4"/>
      <c r="T170" s="3"/>
      <c r="U170" s="2" t="s">
        <v>90</v>
      </c>
    </row>
    <row r="171" spans="1:21" ht="13.2">
      <c r="A171" s="2" t="s">
        <v>99</v>
      </c>
      <c r="B171" s="2" t="s">
        <v>100</v>
      </c>
      <c r="C171" s="2" t="s">
        <v>21</v>
      </c>
      <c r="D171" s="2" t="s">
        <v>82</v>
      </c>
      <c r="E171" s="2">
        <v>35</v>
      </c>
      <c r="F171" s="3">
        <v>461</v>
      </c>
      <c r="G171" s="3">
        <v>517</v>
      </c>
      <c r="H171" s="3">
        <v>484.89141525423997</v>
      </c>
      <c r="I171" s="3">
        <v>502.57742372881</v>
      </c>
      <c r="J171" s="3">
        <v>535.03141525423996</v>
      </c>
      <c r="K171" s="3">
        <v>516.38732203389998</v>
      </c>
      <c r="L171" s="3">
        <v>419.42227118646002</v>
      </c>
      <c r="M171" s="3">
        <v>597.27352542369999</v>
      </c>
      <c r="N171" s="3">
        <v>594.67923728814003</v>
      </c>
      <c r="O171" s="3">
        <v>634.21935292572005</v>
      </c>
      <c r="P171" s="3">
        <v>568.13984901438005</v>
      </c>
      <c r="Q171" s="3">
        <v>601.76692372880996</v>
      </c>
      <c r="R171" s="3">
        <v>6432.3887358384</v>
      </c>
      <c r="S171" s="4">
        <v>1.0169413794969999</v>
      </c>
      <c r="T171" s="3"/>
      <c r="U171" s="2" t="s">
        <v>91</v>
      </c>
    </row>
    <row r="172" spans="1:21" ht="13.2">
      <c r="A172" s="2" t="s">
        <v>101</v>
      </c>
      <c r="B172" s="2" t="s">
        <v>102</v>
      </c>
      <c r="C172" s="2" t="s">
        <v>21</v>
      </c>
      <c r="D172" s="2" t="s">
        <v>12</v>
      </c>
      <c r="E172" s="2">
        <v>0</v>
      </c>
      <c r="F172" s="3">
        <v>569.48266373142997</v>
      </c>
      <c r="G172" s="3">
        <v>802.65088974499997</v>
      </c>
      <c r="H172" s="3">
        <v>934.82847184003003</v>
      </c>
      <c r="I172" s="3">
        <v>979.17813245276</v>
      </c>
      <c r="J172" s="3">
        <v>830.12291322693</v>
      </c>
      <c r="K172" s="3">
        <v>830.12291322693</v>
      </c>
      <c r="L172" s="3">
        <v>919.51018161804996</v>
      </c>
      <c r="M172" s="3">
        <v>822.50963126032002</v>
      </c>
      <c r="N172" s="3">
        <v>1365.1623555311</v>
      </c>
      <c r="O172" s="3">
        <v>1338.4241423592</v>
      </c>
      <c r="P172" s="3">
        <v>1337.6903320491001</v>
      </c>
      <c r="Q172" s="3">
        <v>589.34140524680004</v>
      </c>
      <c r="R172" s="3">
        <v>11319.024032287649</v>
      </c>
      <c r="S172" s="4"/>
      <c r="T172" s="3"/>
      <c r="U172" s="2" t="s">
        <v>87</v>
      </c>
    </row>
    <row r="173" spans="1:21" ht="13.2">
      <c r="A173" s="2" t="s">
        <v>101</v>
      </c>
      <c r="B173" s="2" t="s">
        <v>102</v>
      </c>
      <c r="C173" s="2" t="s">
        <v>21</v>
      </c>
      <c r="D173" s="2" t="s">
        <v>50</v>
      </c>
      <c r="E173" s="2">
        <v>5</v>
      </c>
      <c r="F173" s="3">
        <v>734.83664054237295</v>
      </c>
      <c r="G173" s="3">
        <v>470.86423213728801</v>
      </c>
      <c r="H173" s="3">
        <v>684.29680907627096</v>
      </c>
      <c r="I173" s="3">
        <v>932.93686440678005</v>
      </c>
      <c r="J173" s="3">
        <v>461.307550847458</v>
      </c>
      <c r="K173" s="3">
        <v>22.780432203389999</v>
      </c>
      <c r="L173" s="3">
        <v>27.810940677965998</v>
      </c>
      <c r="M173" s="3">
        <v>413.87619491525402</v>
      </c>
      <c r="N173" s="3">
        <v>248.28648234406799</v>
      </c>
      <c r="O173" s="3">
        <v>22.780432203389999</v>
      </c>
      <c r="P173" s="3">
        <v>22.780432203389999</v>
      </c>
      <c r="Q173" s="3">
        <v>22.780432203389999</v>
      </c>
      <c r="R173" s="3">
        <v>4065.3374437610169</v>
      </c>
      <c r="S173" s="4">
        <v>0.35915971484499998</v>
      </c>
      <c r="T173" s="3"/>
      <c r="U173" s="2" t="s">
        <v>88</v>
      </c>
    </row>
    <row r="174" spans="1:21" ht="13.2">
      <c r="A174" s="2" t="s">
        <v>101</v>
      </c>
      <c r="B174" s="2" t="s">
        <v>102</v>
      </c>
      <c r="C174" s="2" t="s">
        <v>21</v>
      </c>
      <c r="D174" s="2" t="s">
        <v>51</v>
      </c>
      <c r="E174" s="2">
        <v>6</v>
      </c>
      <c r="F174" s="3">
        <v>677.96610169491498</v>
      </c>
      <c r="G174" s="3">
        <v>734.83644067796604</v>
      </c>
      <c r="H174" s="3">
        <v>470.86401694915298</v>
      </c>
      <c r="I174" s="3">
        <v>684.29696610169503</v>
      </c>
      <c r="J174" s="3">
        <v>932.93805932203395</v>
      </c>
      <c r="K174" s="3">
        <v>461.25500847457602</v>
      </c>
      <c r="L174" s="3">
        <v>22.780432203389999</v>
      </c>
      <c r="M174" s="3">
        <v>27.810940677965998</v>
      </c>
      <c r="N174" s="3">
        <v>413.79992372881401</v>
      </c>
      <c r="O174" s="3">
        <v>248.28636440678</v>
      </c>
      <c r="P174" s="3">
        <v>22.780432203389999</v>
      </c>
      <c r="Q174" s="3">
        <v>22.780432203389999</v>
      </c>
      <c r="R174" s="3">
        <v>4720.3951186440681</v>
      </c>
      <c r="S174" s="4">
        <v>0.41703199014100001</v>
      </c>
      <c r="T174" s="3">
        <v>655.05767488305105</v>
      </c>
      <c r="U174" s="2" t="s">
        <v>88</v>
      </c>
    </row>
    <row r="175" spans="1:21" ht="13.2">
      <c r="A175" s="2" t="s">
        <v>101</v>
      </c>
      <c r="B175" s="2" t="s">
        <v>102</v>
      </c>
      <c r="C175" s="2" t="s">
        <v>21</v>
      </c>
      <c r="D175" s="2" t="s">
        <v>52</v>
      </c>
      <c r="E175" s="2">
        <v>7</v>
      </c>
      <c r="F175" s="3">
        <v>666</v>
      </c>
      <c r="G175" s="3">
        <v>710.98494562711903</v>
      </c>
      <c r="H175" s="3">
        <v>494.71592705254199</v>
      </c>
      <c r="I175" s="3">
        <v>679.74172433050899</v>
      </c>
      <c r="J175" s="3">
        <v>932.93686440678005</v>
      </c>
      <c r="K175" s="3">
        <v>461.307550847458</v>
      </c>
      <c r="L175" s="3">
        <v>22.780432203389999</v>
      </c>
      <c r="M175" s="3">
        <v>27.810940677965998</v>
      </c>
      <c r="N175" s="3">
        <v>413.87619491525402</v>
      </c>
      <c r="O175" s="3">
        <v>248.28648234406799</v>
      </c>
      <c r="P175" s="3">
        <v>22.780432203389999</v>
      </c>
      <c r="Q175" s="3">
        <v>22.780432203389999</v>
      </c>
      <c r="R175" s="3">
        <v>4704.0019268118649</v>
      </c>
      <c r="S175" s="4">
        <v>0.415583703453</v>
      </c>
      <c r="T175" s="3">
        <v>-16.393191832203001</v>
      </c>
      <c r="U175" s="2" t="s">
        <v>88</v>
      </c>
    </row>
    <row r="176" spans="1:21" ht="13.2">
      <c r="A176" s="2" t="s">
        <v>101</v>
      </c>
      <c r="B176" s="2" t="s">
        <v>102</v>
      </c>
      <c r="C176" s="2" t="s">
        <v>21</v>
      </c>
      <c r="D176" s="2" t="s">
        <v>53</v>
      </c>
      <c r="E176" s="2">
        <v>8</v>
      </c>
      <c r="F176" s="3">
        <v>666</v>
      </c>
      <c r="G176" s="3">
        <v>734.83644067796604</v>
      </c>
      <c r="H176" s="3">
        <v>541.60638983050899</v>
      </c>
      <c r="I176" s="3">
        <v>710.41984745762704</v>
      </c>
      <c r="J176" s="3">
        <v>932.93805932203395</v>
      </c>
      <c r="K176" s="3">
        <v>602.76263559322001</v>
      </c>
      <c r="L176" s="3">
        <v>22.780432203389999</v>
      </c>
      <c r="M176" s="3">
        <v>27.810940677965998</v>
      </c>
      <c r="N176" s="3">
        <v>413.79992372881401</v>
      </c>
      <c r="O176" s="3">
        <v>386.955008474576</v>
      </c>
      <c r="P176" s="3">
        <v>22.780432203389999</v>
      </c>
      <c r="Q176" s="3">
        <v>22.780432203389999</v>
      </c>
      <c r="R176" s="3">
        <v>5085.470542372881</v>
      </c>
      <c r="S176" s="4">
        <v>0.44928525002399999</v>
      </c>
      <c r="T176" s="3">
        <v>381.46861556101601</v>
      </c>
      <c r="U176" s="2" t="s">
        <v>88</v>
      </c>
    </row>
    <row r="177" spans="1:21" ht="13.2">
      <c r="A177" s="2" t="s">
        <v>101</v>
      </c>
      <c r="B177" s="2" t="s">
        <v>102</v>
      </c>
      <c r="C177" s="2" t="s">
        <v>21</v>
      </c>
      <c r="D177" s="2" t="s">
        <v>54</v>
      </c>
      <c r="E177" s="2">
        <v>9</v>
      </c>
      <c r="F177" s="3">
        <v>666</v>
      </c>
      <c r="G177" s="3">
        <v>734.83644067796604</v>
      </c>
      <c r="H177" s="3">
        <v>541.60638983050899</v>
      </c>
      <c r="I177" s="3">
        <v>710.41984745762704</v>
      </c>
      <c r="J177" s="3">
        <v>932.93805932203395</v>
      </c>
      <c r="K177" s="3">
        <v>602.76263559322001</v>
      </c>
      <c r="L177" s="3">
        <v>22.780432203389999</v>
      </c>
      <c r="M177" s="3">
        <v>27.810940677965998</v>
      </c>
      <c r="N177" s="3">
        <v>413.79992372881401</v>
      </c>
      <c r="O177" s="3">
        <v>386.955008474576</v>
      </c>
      <c r="P177" s="3">
        <v>22.780432203389999</v>
      </c>
      <c r="Q177" s="3">
        <v>22.780432203389999</v>
      </c>
      <c r="R177" s="3">
        <v>5085.470542372881</v>
      </c>
      <c r="S177" s="4">
        <v>0.44928525002399999</v>
      </c>
      <c r="T177" s="3">
        <v>0</v>
      </c>
      <c r="U177" s="2" t="s">
        <v>88</v>
      </c>
    </row>
    <row r="178" spans="1:21" ht="13.2">
      <c r="A178" s="2" t="s">
        <v>101</v>
      </c>
      <c r="B178" s="2" t="s">
        <v>102</v>
      </c>
      <c r="C178" s="2" t="s">
        <v>21</v>
      </c>
      <c r="D178" s="2" t="s">
        <v>55</v>
      </c>
      <c r="E178" s="2">
        <v>10</v>
      </c>
      <c r="F178" s="3">
        <v>666</v>
      </c>
      <c r="G178" s="3">
        <v>734.83644067796604</v>
      </c>
      <c r="H178" s="3">
        <v>541.52542372881396</v>
      </c>
      <c r="I178" s="3">
        <v>710.16949152542395</v>
      </c>
      <c r="J178" s="3">
        <v>933.05084745762701</v>
      </c>
      <c r="K178" s="3">
        <v>602.54237288135596</v>
      </c>
      <c r="L178" s="3">
        <v>22.881355932203</v>
      </c>
      <c r="M178" s="3">
        <v>27.966101694915</v>
      </c>
      <c r="N178" s="3">
        <v>413.55932203389801</v>
      </c>
      <c r="O178" s="3">
        <v>387.28813559321998</v>
      </c>
      <c r="P178" s="3">
        <v>22.881355932203</v>
      </c>
      <c r="Q178" s="3">
        <v>22.881355932203</v>
      </c>
      <c r="R178" s="3">
        <v>5085.5822033898312</v>
      </c>
      <c r="S178" s="4">
        <v>0.44929511492200003</v>
      </c>
      <c r="T178" s="3">
        <v>0.11166101695</v>
      </c>
      <c r="U178" s="2" t="s">
        <v>88</v>
      </c>
    </row>
    <row r="179" spans="1:21" ht="13.2">
      <c r="A179" s="2" t="s">
        <v>101</v>
      </c>
      <c r="B179" s="2" t="s">
        <v>102</v>
      </c>
      <c r="C179" s="2" t="s">
        <v>21</v>
      </c>
      <c r="D179" s="2" t="s">
        <v>56</v>
      </c>
      <c r="E179" s="2">
        <v>11</v>
      </c>
      <c r="F179" s="3">
        <v>666</v>
      </c>
      <c r="G179" s="3">
        <v>734.83644067796604</v>
      </c>
      <c r="H179" s="3">
        <v>541.52542372881396</v>
      </c>
      <c r="I179" s="3">
        <v>710.16949152542395</v>
      </c>
      <c r="J179" s="3">
        <v>933.05084745762701</v>
      </c>
      <c r="K179" s="3">
        <v>602.54237288135596</v>
      </c>
      <c r="L179" s="3">
        <v>22.881355932203</v>
      </c>
      <c r="M179" s="3">
        <v>27.966101694915</v>
      </c>
      <c r="N179" s="3">
        <v>413.55932203389801</v>
      </c>
      <c r="O179" s="3">
        <v>387.28813559321998</v>
      </c>
      <c r="P179" s="3">
        <v>22.881355932203</v>
      </c>
      <c r="Q179" s="3">
        <v>22.881355932203</v>
      </c>
      <c r="R179" s="3">
        <v>5085.5822033898312</v>
      </c>
      <c r="S179" s="4">
        <v>0.44929511492200003</v>
      </c>
      <c r="T179" s="3">
        <v>0</v>
      </c>
      <c r="U179" s="2" t="s">
        <v>88</v>
      </c>
    </row>
    <row r="180" spans="1:21" ht="13.2">
      <c r="A180" s="2" t="s">
        <v>101</v>
      </c>
      <c r="B180" s="2" t="s">
        <v>102</v>
      </c>
      <c r="C180" s="2" t="s">
        <v>21</v>
      </c>
      <c r="D180" s="2" t="s">
        <v>57</v>
      </c>
      <c r="E180" s="2">
        <v>12</v>
      </c>
      <c r="F180" s="3">
        <v>666</v>
      </c>
      <c r="G180" s="3">
        <v>734.83644067796604</v>
      </c>
      <c r="H180" s="3">
        <v>541.52542372881396</v>
      </c>
      <c r="I180" s="3">
        <v>710.41984745762704</v>
      </c>
      <c r="J180" s="3">
        <v>932.93805932203395</v>
      </c>
      <c r="K180" s="3">
        <v>602.76263559322001</v>
      </c>
      <c r="L180" s="3">
        <v>22.780432203389999</v>
      </c>
      <c r="M180" s="3">
        <v>27.810940677965998</v>
      </c>
      <c r="N180" s="3">
        <v>413.79992372881401</v>
      </c>
      <c r="O180" s="3">
        <v>386.955008474576</v>
      </c>
      <c r="P180" s="3">
        <v>22.780432203389999</v>
      </c>
      <c r="Q180" s="3">
        <v>22.780432203389999</v>
      </c>
      <c r="R180" s="3">
        <v>5085.3895762711863</v>
      </c>
      <c r="S180" s="4">
        <v>0.44927809692499998</v>
      </c>
      <c r="T180" s="3">
        <v>-0.19262711864500001</v>
      </c>
      <c r="U180" s="2" t="s">
        <v>88</v>
      </c>
    </row>
    <row r="181" spans="1:21" ht="13.2">
      <c r="A181" s="2" t="s">
        <v>101</v>
      </c>
      <c r="B181" s="2" t="s">
        <v>102</v>
      </c>
      <c r="C181" s="2" t="s">
        <v>21</v>
      </c>
      <c r="D181" s="2" t="s">
        <v>58</v>
      </c>
      <c r="E181" s="2">
        <v>13</v>
      </c>
      <c r="F181" s="3">
        <v>666</v>
      </c>
      <c r="G181" s="3">
        <v>734.83644067796604</v>
      </c>
      <c r="H181" s="3">
        <v>541.60638983050899</v>
      </c>
      <c r="I181" s="3">
        <v>710.41984745762704</v>
      </c>
      <c r="J181" s="3">
        <v>932.93805932203395</v>
      </c>
      <c r="K181" s="3">
        <v>602.76263559322001</v>
      </c>
      <c r="L181" s="3">
        <v>22.780432203389999</v>
      </c>
      <c r="M181" s="3">
        <v>27.810940677965998</v>
      </c>
      <c r="N181" s="3">
        <v>413.79992372881401</v>
      </c>
      <c r="O181" s="3">
        <v>386.955008474576</v>
      </c>
      <c r="P181" s="3">
        <v>22.780432203389999</v>
      </c>
      <c r="Q181" s="3">
        <v>22.780432203389999</v>
      </c>
      <c r="R181" s="3">
        <v>5085.470542372881</v>
      </c>
      <c r="S181" s="4">
        <v>0.44928525002399999</v>
      </c>
      <c r="T181" s="3">
        <v>8.0966101695000001E-2</v>
      </c>
      <c r="U181" s="2" t="s">
        <v>88</v>
      </c>
    </row>
    <row r="182" spans="1:21" ht="13.2">
      <c r="A182" s="2" t="s">
        <v>101</v>
      </c>
      <c r="B182" s="2" t="s">
        <v>102</v>
      </c>
      <c r="C182" s="2" t="s">
        <v>21</v>
      </c>
      <c r="D182" s="2" t="s">
        <v>59</v>
      </c>
      <c r="E182" s="2">
        <v>14</v>
      </c>
      <c r="F182" s="3">
        <v>666</v>
      </c>
      <c r="G182" s="3">
        <v>734.83644067796604</v>
      </c>
      <c r="H182" s="3">
        <v>442.37288135593201</v>
      </c>
      <c r="I182" s="3">
        <v>555.93220338983099</v>
      </c>
      <c r="J182" s="3">
        <v>736.44067796610204</v>
      </c>
      <c r="K182" s="3">
        <v>1354.237288135593</v>
      </c>
      <c r="L182" s="3">
        <v>708.47457627118604</v>
      </c>
      <c r="M182" s="3">
        <v>872.03389830508502</v>
      </c>
      <c r="N182" s="3">
        <v>588.983050847458</v>
      </c>
      <c r="O182" s="3">
        <v>113.559322033898</v>
      </c>
      <c r="P182" s="3">
        <v>22.033898305085</v>
      </c>
      <c r="Q182" s="3">
        <v>19.491525423729001</v>
      </c>
      <c r="R182" s="3">
        <v>6814.3957627118643</v>
      </c>
      <c r="S182" s="4">
        <v>0.60203032905300002</v>
      </c>
      <c r="T182" s="3">
        <v>1728.9252203389831</v>
      </c>
      <c r="U182" s="2" t="s">
        <v>88</v>
      </c>
    </row>
    <row r="183" spans="1:21" ht="13.2">
      <c r="A183" s="2" t="s">
        <v>101</v>
      </c>
      <c r="B183" s="2" t="s">
        <v>102</v>
      </c>
      <c r="C183" s="2" t="s">
        <v>21</v>
      </c>
      <c r="D183" s="2" t="s">
        <v>60</v>
      </c>
      <c r="E183" s="2">
        <v>15</v>
      </c>
      <c r="F183" s="3">
        <v>666</v>
      </c>
      <c r="G183" s="3">
        <v>734.83644067796604</v>
      </c>
      <c r="H183" s="3">
        <v>442.37288135593201</v>
      </c>
      <c r="I183" s="3">
        <v>555.93220338983099</v>
      </c>
      <c r="J183" s="3">
        <v>736.44067796610204</v>
      </c>
      <c r="K183" s="3">
        <v>1354.237288135593</v>
      </c>
      <c r="L183" s="3">
        <v>708.47457627118604</v>
      </c>
      <c r="M183" s="3">
        <v>872.03389830508502</v>
      </c>
      <c r="N183" s="3">
        <v>588.983050847458</v>
      </c>
      <c r="O183" s="3">
        <v>113.559322033898</v>
      </c>
      <c r="P183" s="3">
        <v>22.033898305085</v>
      </c>
      <c r="Q183" s="3">
        <v>19.491525423729001</v>
      </c>
      <c r="R183" s="3">
        <v>6814.3957627118643</v>
      </c>
      <c r="S183" s="4">
        <v>0.60203032905300002</v>
      </c>
      <c r="T183" s="3">
        <v>0</v>
      </c>
      <c r="U183" s="2" t="s">
        <v>88</v>
      </c>
    </row>
    <row r="184" spans="1:21" ht="13.2">
      <c r="A184" s="2" t="s">
        <v>101</v>
      </c>
      <c r="B184" s="2" t="s">
        <v>102</v>
      </c>
      <c r="C184" s="2" t="s">
        <v>21</v>
      </c>
      <c r="D184" s="2" t="s">
        <v>61</v>
      </c>
      <c r="E184" s="2">
        <v>16</v>
      </c>
      <c r="F184" s="3">
        <v>666</v>
      </c>
      <c r="G184" s="3">
        <v>734.83644067796604</v>
      </c>
      <c r="H184" s="3">
        <v>442.37288135593201</v>
      </c>
      <c r="I184" s="3">
        <v>442.12560169491502</v>
      </c>
      <c r="J184" s="3">
        <v>742.22365254237297</v>
      </c>
      <c r="K184" s="3">
        <v>1371.5261949152541</v>
      </c>
      <c r="L184" s="3">
        <v>713.93805932203395</v>
      </c>
      <c r="M184" s="3">
        <v>873.70755084745804</v>
      </c>
      <c r="N184" s="3">
        <v>593.32449999999994</v>
      </c>
      <c r="O184" s="3">
        <v>114.277042372881</v>
      </c>
      <c r="P184" s="3">
        <v>22.780432203389999</v>
      </c>
      <c r="Q184" s="3">
        <v>22.780432203389999</v>
      </c>
      <c r="R184" s="3">
        <v>6739.892788135593</v>
      </c>
      <c r="S184" s="4">
        <v>0.59544822671200004</v>
      </c>
      <c r="T184" s="3">
        <v>-74.502974576271001</v>
      </c>
      <c r="U184" s="2" t="s">
        <v>88</v>
      </c>
    </row>
    <row r="185" spans="1:21" ht="13.2">
      <c r="A185" s="2" t="s">
        <v>101</v>
      </c>
      <c r="B185" s="2" t="s">
        <v>102</v>
      </c>
      <c r="C185" s="2" t="s">
        <v>21</v>
      </c>
      <c r="D185" s="2" t="s">
        <v>62</v>
      </c>
      <c r="E185" s="2">
        <v>17</v>
      </c>
      <c r="F185" s="3">
        <v>666</v>
      </c>
      <c r="G185" s="3">
        <v>734.83644067796604</v>
      </c>
      <c r="H185" s="3">
        <v>442.37288135593201</v>
      </c>
      <c r="I185" s="3">
        <v>415.530313559322</v>
      </c>
      <c r="J185" s="3">
        <v>834.13367796610203</v>
      </c>
      <c r="K185" s="3">
        <v>1338.4202118644071</v>
      </c>
      <c r="L185" s="3">
        <v>808.09318644067798</v>
      </c>
      <c r="M185" s="3">
        <v>1084.769652542373</v>
      </c>
      <c r="N185" s="3">
        <v>902.85987288135595</v>
      </c>
      <c r="O185" s="3">
        <v>375.383779661017</v>
      </c>
      <c r="P185" s="3">
        <v>51.928737288135999</v>
      </c>
      <c r="Q185" s="3">
        <v>94.301618644068</v>
      </c>
      <c r="R185" s="3">
        <v>7748.6303728813564</v>
      </c>
      <c r="S185" s="4">
        <v>0.68456700425600003</v>
      </c>
      <c r="T185" s="3">
        <v>1008.737584745763</v>
      </c>
      <c r="U185" s="2" t="s">
        <v>88</v>
      </c>
    </row>
    <row r="186" spans="1:21" ht="13.2">
      <c r="A186" s="2" t="s">
        <v>101</v>
      </c>
      <c r="B186" s="2" t="s">
        <v>102</v>
      </c>
      <c r="C186" s="2" t="s">
        <v>21</v>
      </c>
      <c r="D186" s="2" t="s">
        <v>63</v>
      </c>
      <c r="E186" s="2">
        <v>18</v>
      </c>
      <c r="F186" s="3">
        <v>666</v>
      </c>
      <c r="G186" s="3">
        <v>734.83644067796604</v>
      </c>
      <c r="H186" s="3">
        <v>442.37288135593201</v>
      </c>
      <c r="I186" s="3">
        <v>415.530313559322</v>
      </c>
      <c r="J186" s="3">
        <v>834.13367796610203</v>
      </c>
      <c r="K186" s="3">
        <v>1338.4202118644071</v>
      </c>
      <c r="L186" s="3">
        <v>808.09318644067798</v>
      </c>
      <c r="M186" s="3">
        <v>1084.769652542373</v>
      </c>
      <c r="N186" s="3">
        <v>902.85987288135595</v>
      </c>
      <c r="O186" s="3">
        <v>375.383779661017</v>
      </c>
      <c r="P186" s="3">
        <v>51.928737288135999</v>
      </c>
      <c r="Q186" s="3">
        <v>94.301618644068</v>
      </c>
      <c r="R186" s="3">
        <v>7748.6303728813564</v>
      </c>
      <c r="S186" s="4">
        <v>0.68456700425600003</v>
      </c>
      <c r="T186" s="3">
        <v>0</v>
      </c>
      <c r="U186" s="2" t="s">
        <v>88</v>
      </c>
    </row>
    <row r="187" spans="1:21" ht="13.2">
      <c r="A187" s="2" t="s">
        <v>101</v>
      </c>
      <c r="B187" s="2" t="s">
        <v>102</v>
      </c>
      <c r="C187" s="2" t="s">
        <v>21</v>
      </c>
      <c r="D187" s="2" t="s">
        <v>64</v>
      </c>
      <c r="E187" s="2">
        <v>19</v>
      </c>
      <c r="F187" s="3">
        <v>666</v>
      </c>
      <c r="G187" s="3">
        <v>734.83644067796604</v>
      </c>
      <c r="H187" s="3">
        <v>442.37288135593201</v>
      </c>
      <c r="I187" s="3">
        <v>387.29915254237301</v>
      </c>
      <c r="J187" s="3">
        <v>879.89638983050804</v>
      </c>
      <c r="K187" s="3">
        <v>1328.618516949153</v>
      </c>
      <c r="L187" s="3">
        <v>730.49488135593197</v>
      </c>
      <c r="M187" s="3">
        <v>1032.5950762711859</v>
      </c>
      <c r="N187" s="3">
        <v>893.05817796610199</v>
      </c>
      <c r="O187" s="3">
        <v>111.344796610169</v>
      </c>
      <c r="P187" s="3">
        <v>42.127042372881</v>
      </c>
      <c r="Q187" s="3">
        <v>42.127042372881</v>
      </c>
      <c r="R187" s="3">
        <v>7290.7703983050851</v>
      </c>
      <c r="S187" s="4">
        <v>0.64411652254700003</v>
      </c>
      <c r="T187" s="3">
        <v>-457.85997457627099</v>
      </c>
      <c r="U187" s="2" t="s">
        <v>88</v>
      </c>
    </row>
    <row r="188" spans="1:21" ht="13.2">
      <c r="A188" s="2" t="s">
        <v>101</v>
      </c>
      <c r="B188" s="2" t="s">
        <v>102</v>
      </c>
      <c r="C188" s="2" t="s">
        <v>21</v>
      </c>
      <c r="D188" s="2" t="s">
        <v>65</v>
      </c>
      <c r="E188" s="2">
        <v>20</v>
      </c>
      <c r="F188" s="3">
        <v>666</v>
      </c>
      <c r="G188" s="3">
        <v>734.83644067796604</v>
      </c>
      <c r="H188" s="3">
        <v>442.37288135593201</v>
      </c>
      <c r="I188" s="3">
        <v>431</v>
      </c>
      <c r="J188" s="3">
        <v>857.11595762711897</v>
      </c>
      <c r="K188" s="3">
        <v>1305.7371610169489</v>
      </c>
      <c r="L188" s="3">
        <v>707.71444915254199</v>
      </c>
      <c r="M188" s="3">
        <v>1009.713720338983</v>
      </c>
      <c r="N188" s="3">
        <v>870.27774576271202</v>
      </c>
      <c r="O188" s="3">
        <v>88.564364406780001</v>
      </c>
      <c r="P188" s="3">
        <v>19.346610169491999</v>
      </c>
      <c r="Q188" s="3">
        <v>19.346610169491999</v>
      </c>
      <c r="R188" s="3">
        <v>7152.025940677966</v>
      </c>
      <c r="S188" s="4">
        <v>0.631858888211</v>
      </c>
      <c r="T188" s="3">
        <v>-138.744457627119</v>
      </c>
      <c r="U188" s="2" t="s">
        <v>88</v>
      </c>
    </row>
    <row r="189" spans="1:21" ht="13.2">
      <c r="A189" s="2" t="s">
        <v>101</v>
      </c>
      <c r="B189" s="2" t="s">
        <v>102</v>
      </c>
      <c r="C189" s="2" t="s">
        <v>21</v>
      </c>
      <c r="D189" s="2" t="s">
        <v>66</v>
      </c>
      <c r="E189" s="2">
        <v>21</v>
      </c>
      <c r="F189" s="3">
        <v>666</v>
      </c>
      <c r="G189" s="3">
        <v>734.83644067796604</v>
      </c>
      <c r="H189" s="3">
        <v>442.37288135593201</v>
      </c>
      <c r="I189" s="3">
        <v>431</v>
      </c>
      <c r="J189" s="3">
        <v>914.83290677966102</v>
      </c>
      <c r="K189" s="3">
        <v>1327.31343220339</v>
      </c>
      <c r="L189" s="3">
        <v>708.48285593220305</v>
      </c>
      <c r="M189" s="3">
        <v>1210.5111525423731</v>
      </c>
      <c r="N189" s="3">
        <v>1040.24893220339</v>
      </c>
      <c r="O189" s="3">
        <v>631.41690677966096</v>
      </c>
      <c r="P189" s="3">
        <v>198.97796610169499</v>
      </c>
      <c r="Q189" s="3">
        <v>71.521186440677994</v>
      </c>
      <c r="R189" s="3">
        <v>8377.5146610169486</v>
      </c>
      <c r="S189" s="4">
        <v>0.74012694355300002</v>
      </c>
      <c r="T189" s="3">
        <v>1225.4887203389831</v>
      </c>
      <c r="U189" s="2" t="s">
        <v>88</v>
      </c>
    </row>
    <row r="190" spans="1:21" ht="13.2">
      <c r="A190" s="2" t="s">
        <v>101</v>
      </c>
      <c r="B190" s="2" t="s">
        <v>102</v>
      </c>
      <c r="C190" s="2" t="s">
        <v>21</v>
      </c>
      <c r="D190" s="2" t="s">
        <v>67</v>
      </c>
      <c r="E190" s="2">
        <v>22</v>
      </c>
      <c r="F190" s="3">
        <v>666</v>
      </c>
      <c r="G190" s="3">
        <v>734.83644067796604</v>
      </c>
      <c r="H190" s="3">
        <v>442.37288135593201</v>
      </c>
      <c r="I190" s="3">
        <v>431</v>
      </c>
      <c r="J190" s="3">
        <v>479.96483898305098</v>
      </c>
      <c r="K190" s="3">
        <v>971.65877118644096</v>
      </c>
      <c r="L190" s="3">
        <v>800.20313559322005</v>
      </c>
      <c r="M190" s="3">
        <v>1210.4421525423729</v>
      </c>
      <c r="N190" s="3">
        <v>1137.521745762712</v>
      </c>
      <c r="O190" s="3">
        <v>1820.37756779661</v>
      </c>
      <c r="P190" s="3">
        <v>200.33898305084699</v>
      </c>
      <c r="Q190" s="3">
        <v>610.05169491525396</v>
      </c>
      <c r="R190" s="3">
        <v>9504.7682118644079</v>
      </c>
      <c r="S190" s="4">
        <v>0.83971623213699997</v>
      </c>
      <c r="T190" s="3">
        <v>1127.2535508474591</v>
      </c>
      <c r="U190" s="2" t="s">
        <v>88</v>
      </c>
    </row>
    <row r="191" spans="1:21" ht="13.2">
      <c r="A191" s="2" t="s">
        <v>101</v>
      </c>
      <c r="B191" s="2" t="s">
        <v>102</v>
      </c>
      <c r="C191" s="2" t="s">
        <v>21</v>
      </c>
      <c r="D191" s="2" t="s">
        <v>68</v>
      </c>
      <c r="E191" s="2">
        <v>23</v>
      </c>
      <c r="F191" s="3">
        <v>666</v>
      </c>
      <c r="G191" s="3">
        <v>734.83644067796604</v>
      </c>
      <c r="H191" s="3">
        <v>442.37288135593201</v>
      </c>
      <c r="I191" s="3">
        <v>431</v>
      </c>
      <c r="J191" s="3">
        <v>462</v>
      </c>
      <c r="K191" s="3">
        <v>971.65877118644096</v>
      </c>
      <c r="L191" s="3">
        <v>800.20313559322005</v>
      </c>
      <c r="M191" s="3">
        <v>1223.693847457627</v>
      </c>
      <c r="N191" s="3">
        <v>1379.9692033898309</v>
      </c>
      <c r="O191" s="3">
        <v>1820.37756779661</v>
      </c>
      <c r="P191" s="3">
        <v>200.33898305084699</v>
      </c>
      <c r="Q191" s="3">
        <v>610.05169491525396</v>
      </c>
      <c r="R191" s="3">
        <v>9742.5025254237298</v>
      </c>
      <c r="S191" s="4">
        <v>0.86071930739199998</v>
      </c>
      <c r="T191" s="3">
        <v>237.734313559322</v>
      </c>
      <c r="U191" s="2" t="s">
        <v>88</v>
      </c>
    </row>
    <row r="192" spans="1:21" ht="13.2">
      <c r="A192" s="2" t="s">
        <v>101</v>
      </c>
      <c r="B192" s="2" t="s">
        <v>102</v>
      </c>
      <c r="C192" s="2" t="s">
        <v>21</v>
      </c>
      <c r="D192" s="2" t="s">
        <v>69</v>
      </c>
      <c r="E192" s="2">
        <v>24</v>
      </c>
      <c r="F192" s="3">
        <v>666</v>
      </c>
      <c r="G192" s="3">
        <v>734.83644067796604</v>
      </c>
      <c r="H192" s="3">
        <v>442.37288135593201</v>
      </c>
      <c r="I192" s="3">
        <v>431</v>
      </c>
      <c r="J192" s="3">
        <v>462</v>
      </c>
      <c r="K192" s="3">
        <v>971.65877118644096</v>
      </c>
      <c r="L192" s="3">
        <v>800.20313559322005</v>
      </c>
      <c r="M192" s="3">
        <v>1223.693847457627</v>
      </c>
      <c r="N192" s="3">
        <v>1379.9692033898309</v>
      </c>
      <c r="O192" s="3">
        <v>1820.37756779661</v>
      </c>
      <c r="P192" s="3">
        <v>200.33898305084699</v>
      </c>
      <c r="Q192" s="3">
        <v>610.05169491525396</v>
      </c>
      <c r="R192" s="3">
        <v>9742.5025254237298</v>
      </c>
      <c r="S192" s="4">
        <v>0.86071930739199998</v>
      </c>
      <c r="T192" s="3">
        <v>0</v>
      </c>
      <c r="U192" s="2" t="s">
        <v>88</v>
      </c>
    </row>
    <row r="193" spans="1:21" ht="13.2">
      <c r="A193" s="2" t="s">
        <v>101</v>
      </c>
      <c r="B193" s="2" t="s">
        <v>102</v>
      </c>
      <c r="C193" s="2" t="s">
        <v>21</v>
      </c>
      <c r="D193" s="2" t="s">
        <v>70</v>
      </c>
      <c r="E193" s="2">
        <v>25</v>
      </c>
      <c r="F193" s="3">
        <v>666</v>
      </c>
      <c r="G193" s="3">
        <v>734.83644067796604</v>
      </c>
      <c r="H193" s="3">
        <v>442.37288135593201</v>
      </c>
      <c r="I193" s="3">
        <v>431</v>
      </c>
      <c r="J193" s="3">
        <v>462</v>
      </c>
      <c r="K193" s="3">
        <v>971.65877118644096</v>
      </c>
      <c r="L193" s="3">
        <v>800.20313559322005</v>
      </c>
      <c r="M193" s="3">
        <v>1223.693847457627</v>
      </c>
      <c r="N193" s="3">
        <v>1379.9692033898309</v>
      </c>
      <c r="O193" s="3">
        <v>1820.37756779661</v>
      </c>
      <c r="P193" s="3">
        <v>200.33898305084699</v>
      </c>
      <c r="Q193" s="3">
        <v>610.05169491525396</v>
      </c>
      <c r="R193" s="3">
        <v>9742.5025254237298</v>
      </c>
      <c r="S193" s="4">
        <v>0.86071930739199998</v>
      </c>
      <c r="T193" s="3">
        <v>0</v>
      </c>
      <c r="U193" s="2" t="s">
        <v>88</v>
      </c>
    </row>
    <row r="194" spans="1:21" ht="13.2">
      <c r="A194" s="2" t="s">
        <v>101</v>
      </c>
      <c r="B194" s="2" t="s">
        <v>102</v>
      </c>
      <c r="C194" s="2" t="s">
        <v>21</v>
      </c>
      <c r="D194" s="2" t="s">
        <v>71</v>
      </c>
      <c r="E194" s="2">
        <v>26</v>
      </c>
      <c r="F194" s="3">
        <v>666</v>
      </c>
      <c r="G194" s="3">
        <v>734.83644067796604</v>
      </c>
      <c r="H194" s="3">
        <v>442.37288135593201</v>
      </c>
      <c r="I194" s="3">
        <v>431</v>
      </c>
      <c r="J194" s="3">
        <v>462</v>
      </c>
      <c r="K194" s="3">
        <v>925.89605932203403</v>
      </c>
      <c r="L194" s="3">
        <v>845.96584745762698</v>
      </c>
      <c r="M194" s="3">
        <v>1223.693847457627</v>
      </c>
      <c r="N194" s="3">
        <v>1379.9692033898309</v>
      </c>
      <c r="O194" s="3">
        <v>1820.37756779661</v>
      </c>
      <c r="P194" s="3">
        <v>200.33898305084699</v>
      </c>
      <c r="Q194" s="3">
        <v>610.05169491525396</v>
      </c>
      <c r="R194" s="3">
        <v>9742.5025254237298</v>
      </c>
      <c r="S194" s="4">
        <v>0.86071930739199998</v>
      </c>
      <c r="T194" s="3">
        <v>0</v>
      </c>
      <c r="U194" s="2" t="s">
        <v>88</v>
      </c>
    </row>
    <row r="195" spans="1:21" ht="13.2">
      <c r="A195" s="2" t="s">
        <v>101</v>
      </c>
      <c r="B195" s="2" t="s">
        <v>102</v>
      </c>
      <c r="C195" s="2" t="s">
        <v>21</v>
      </c>
      <c r="D195" s="2" t="s">
        <v>72</v>
      </c>
      <c r="E195" s="2">
        <v>27</v>
      </c>
      <c r="F195" s="3">
        <v>666</v>
      </c>
      <c r="G195" s="3">
        <v>734.83644067796604</v>
      </c>
      <c r="H195" s="3">
        <v>442.37288135593201</v>
      </c>
      <c r="I195" s="3">
        <v>431</v>
      </c>
      <c r="J195" s="3">
        <v>462</v>
      </c>
      <c r="K195" s="3">
        <v>980.50847457627106</v>
      </c>
      <c r="L195" s="3">
        <v>845.965847457628</v>
      </c>
      <c r="M195" s="3">
        <v>1223.693847457627</v>
      </c>
      <c r="N195" s="3">
        <v>1379.9692033898309</v>
      </c>
      <c r="O195" s="3">
        <v>1820.37756779661</v>
      </c>
      <c r="P195" s="3">
        <v>200.33898305084699</v>
      </c>
      <c r="Q195" s="3">
        <v>610.05169491525396</v>
      </c>
      <c r="R195" s="3">
        <v>9797.1149406779659</v>
      </c>
      <c r="S195" s="4">
        <v>0.86554414168000005</v>
      </c>
      <c r="T195" s="3">
        <v>54.612415254235998</v>
      </c>
      <c r="U195" s="2" t="s">
        <v>89</v>
      </c>
    </row>
    <row r="196" spans="1:21" ht="13.2">
      <c r="A196" s="2" t="s">
        <v>101</v>
      </c>
      <c r="B196" s="2" t="s">
        <v>102</v>
      </c>
      <c r="C196" s="2" t="s">
        <v>21</v>
      </c>
      <c r="D196" s="2" t="s">
        <v>73</v>
      </c>
      <c r="E196" s="2">
        <v>28</v>
      </c>
      <c r="F196" s="3">
        <v>666</v>
      </c>
      <c r="G196" s="3">
        <v>734.83644067796604</v>
      </c>
      <c r="H196" s="3">
        <v>442.37288135593201</v>
      </c>
      <c r="I196" s="3">
        <v>431</v>
      </c>
      <c r="J196" s="3">
        <v>462</v>
      </c>
      <c r="K196" s="3">
        <v>980.50847457627106</v>
      </c>
      <c r="L196" s="3">
        <v>754.12457627118602</v>
      </c>
      <c r="M196" s="3">
        <v>883.57435593220305</v>
      </c>
      <c r="N196" s="3">
        <v>1281.8889830508481</v>
      </c>
      <c r="O196" s="3">
        <v>1433.2830508474581</v>
      </c>
      <c r="P196" s="3">
        <v>1376.966305084746</v>
      </c>
      <c r="Q196" s="3">
        <v>753.89152542372904</v>
      </c>
      <c r="R196" s="3">
        <v>10200.44659322034</v>
      </c>
      <c r="S196" s="4">
        <v>0.90117721847099996</v>
      </c>
      <c r="T196" s="3">
        <v>403.331652542374</v>
      </c>
      <c r="U196" s="2" t="s">
        <v>89</v>
      </c>
    </row>
    <row r="197" spans="1:21" ht="13.2">
      <c r="A197" s="2" t="s">
        <v>101</v>
      </c>
      <c r="B197" s="2" t="s">
        <v>102</v>
      </c>
      <c r="C197" s="2" t="s">
        <v>21</v>
      </c>
      <c r="D197" s="2" t="s">
        <v>74</v>
      </c>
      <c r="E197" s="2">
        <v>29</v>
      </c>
      <c r="F197" s="3">
        <v>666</v>
      </c>
      <c r="G197" s="3">
        <v>734.83644067796604</v>
      </c>
      <c r="H197" s="3">
        <v>442.37288135593201</v>
      </c>
      <c r="I197" s="3">
        <v>431</v>
      </c>
      <c r="J197" s="3">
        <v>462</v>
      </c>
      <c r="K197" s="3">
        <v>980.50847457627106</v>
      </c>
      <c r="L197" s="3">
        <v>754.12457627118602</v>
      </c>
      <c r="M197" s="3">
        <v>883.57435593220305</v>
      </c>
      <c r="N197" s="3">
        <v>1281.8889830508481</v>
      </c>
      <c r="O197" s="3">
        <v>1433.2830508474581</v>
      </c>
      <c r="P197" s="3">
        <v>1376.966305084746</v>
      </c>
      <c r="Q197" s="3">
        <v>753.89152542372904</v>
      </c>
      <c r="R197" s="3">
        <v>10200.44659322034</v>
      </c>
      <c r="S197" s="4">
        <v>0.90117721847099996</v>
      </c>
      <c r="T197" s="3">
        <v>0</v>
      </c>
      <c r="U197" s="2" t="s">
        <v>89</v>
      </c>
    </row>
    <row r="198" spans="1:21" ht="13.2">
      <c r="A198" s="2" t="s">
        <v>101</v>
      </c>
      <c r="B198" s="2" t="s">
        <v>102</v>
      </c>
      <c r="C198" s="2" t="s">
        <v>21</v>
      </c>
      <c r="D198" s="2" t="s">
        <v>75</v>
      </c>
      <c r="E198" s="2">
        <v>30</v>
      </c>
      <c r="F198" s="3">
        <v>666</v>
      </c>
      <c r="G198" s="3">
        <v>734.83644067797002</v>
      </c>
      <c r="H198" s="3">
        <v>442.37288135593002</v>
      </c>
      <c r="I198" s="3">
        <v>431</v>
      </c>
      <c r="J198" s="3">
        <v>462</v>
      </c>
      <c r="K198" s="3">
        <v>980.50847457627003</v>
      </c>
      <c r="L198" s="3">
        <v>754.59067796609997</v>
      </c>
      <c r="M198" s="3">
        <v>883.57435593219998</v>
      </c>
      <c r="N198" s="3">
        <v>1342.1299491525001</v>
      </c>
      <c r="O198" s="3">
        <v>1433.2830508474999</v>
      </c>
      <c r="P198" s="3">
        <v>1376.9663050847</v>
      </c>
      <c r="Q198" s="3">
        <v>1168.3067796610001</v>
      </c>
      <c r="R198" s="3">
        <v>10675.568915254</v>
      </c>
      <c r="S198" s="4">
        <v>0.94315277401999997</v>
      </c>
      <c r="T198" s="3">
        <v>475.12232203366</v>
      </c>
      <c r="U198" s="2" t="s">
        <v>89</v>
      </c>
    </row>
    <row r="199" spans="1:21" ht="13.2">
      <c r="A199" s="2" t="s">
        <v>101</v>
      </c>
      <c r="B199" s="2" t="s">
        <v>102</v>
      </c>
      <c r="C199" s="2" t="s">
        <v>21</v>
      </c>
      <c r="D199" s="2" t="s">
        <v>76</v>
      </c>
      <c r="E199" s="2">
        <v>31</v>
      </c>
      <c r="F199" s="3">
        <v>666</v>
      </c>
      <c r="G199" s="3">
        <v>734.83644067797002</v>
      </c>
      <c r="H199" s="3">
        <v>442.37288135593002</v>
      </c>
      <c r="I199" s="3">
        <v>431</v>
      </c>
      <c r="J199" s="3">
        <v>462</v>
      </c>
      <c r="K199" s="3">
        <v>980.50847457627003</v>
      </c>
      <c r="L199" s="3">
        <v>599.383898305</v>
      </c>
      <c r="M199" s="3">
        <v>847.42520338983002</v>
      </c>
      <c r="N199" s="3">
        <v>1342.1299491525001</v>
      </c>
      <c r="O199" s="3">
        <v>1733.6855932203</v>
      </c>
      <c r="P199" s="3">
        <v>1298.1611440678</v>
      </c>
      <c r="Q199" s="3">
        <v>1313.6627118644001</v>
      </c>
      <c r="R199" s="3">
        <v>10851.166296609999</v>
      </c>
      <c r="S199" s="4">
        <v>0.95866624769599995</v>
      </c>
      <c r="T199" s="3">
        <v>175.597381355999</v>
      </c>
      <c r="U199" s="2" t="s">
        <v>89</v>
      </c>
    </row>
    <row r="200" spans="1:21" ht="13.2">
      <c r="A200" s="2" t="s">
        <v>101</v>
      </c>
      <c r="B200" s="2" t="s">
        <v>102</v>
      </c>
      <c r="C200" s="2" t="s">
        <v>21</v>
      </c>
      <c r="D200" s="2" t="s">
        <v>77</v>
      </c>
      <c r="E200" s="2">
        <v>32</v>
      </c>
      <c r="F200" s="3">
        <v>666</v>
      </c>
      <c r="G200" s="3">
        <v>734.83644067797002</v>
      </c>
      <c r="H200" s="3">
        <v>442.37288135593002</v>
      </c>
      <c r="I200" s="3">
        <v>431</v>
      </c>
      <c r="J200" s="3">
        <v>462</v>
      </c>
      <c r="K200" s="3">
        <v>980.50847457627003</v>
      </c>
      <c r="L200" s="3">
        <v>599.383898305</v>
      </c>
      <c r="M200" s="3">
        <v>852.50994915283002</v>
      </c>
      <c r="N200" s="3">
        <v>1342.1299491525001</v>
      </c>
      <c r="O200" s="3">
        <v>1733.6855932203</v>
      </c>
      <c r="P200" s="3">
        <v>1298.1611440678</v>
      </c>
      <c r="Q200" s="3">
        <v>1313.6627118644001</v>
      </c>
      <c r="R200" s="3">
        <v>10856.251042373</v>
      </c>
      <c r="S200" s="4">
        <v>0.95911546891400001</v>
      </c>
      <c r="T200" s="3">
        <v>5.084745763001</v>
      </c>
      <c r="U200" s="2" t="s">
        <v>89</v>
      </c>
    </row>
    <row r="201" spans="1:21" ht="13.2">
      <c r="A201" s="2" t="s">
        <v>101</v>
      </c>
      <c r="B201" s="2" t="s">
        <v>102</v>
      </c>
      <c r="C201" s="2" t="s">
        <v>21</v>
      </c>
      <c r="D201" s="2" t="s">
        <v>78</v>
      </c>
      <c r="E201" s="2">
        <v>33</v>
      </c>
      <c r="F201" s="3">
        <v>666</v>
      </c>
      <c r="G201" s="3">
        <v>734.83644067797002</v>
      </c>
      <c r="H201" s="3">
        <v>442.37288135593002</v>
      </c>
      <c r="I201" s="3">
        <v>431</v>
      </c>
      <c r="J201" s="3">
        <v>462</v>
      </c>
      <c r="K201" s="3">
        <v>980.50847457627003</v>
      </c>
      <c r="L201" s="3">
        <v>599.383898305</v>
      </c>
      <c r="M201" s="3">
        <v>852.50994915263004</v>
      </c>
      <c r="N201" s="3">
        <v>1342.1299491525001</v>
      </c>
      <c r="O201" s="3">
        <v>1524.4957627118999</v>
      </c>
      <c r="P201" s="3">
        <v>1512.7382627119</v>
      </c>
      <c r="Q201" s="3">
        <v>1667.5796610169</v>
      </c>
      <c r="R201" s="3">
        <v>11215.555279661001</v>
      </c>
      <c r="S201" s="4">
        <v>0.99085886271400003</v>
      </c>
      <c r="T201" s="3">
        <v>359.30423728800099</v>
      </c>
      <c r="U201" s="2" t="s">
        <v>89</v>
      </c>
    </row>
    <row r="202" spans="1:21" ht="13.2">
      <c r="A202" s="2" t="s">
        <v>101</v>
      </c>
      <c r="B202" s="2" t="s">
        <v>102</v>
      </c>
      <c r="C202" s="2" t="s">
        <v>21</v>
      </c>
      <c r="D202" s="2" t="s">
        <v>79</v>
      </c>
      <c r="E202" s="2">
        <v>34</v>
      </c>
      <c r="F202" s="3">
        <v>666</v>
      </c>
      <c r="G202" s="3">
        <v>734.83644067797002</v>
      </c>
      <c r="H202" s="3">
        <v>442.37288135593002</v>
      </c>
      <c r="I202" s="3">
        <v>431</v>
      </c>
      <c r="J202" s="3">
        <v>462</v>
      </c>
      <c r="K202" s="3">
        <v>980.50847457627003</v>
      </c>
      <c r="L202" s="3">
        <v>599.383898305</v>
      </c>
      <c r="M202" s="3">
        <v>852.50994915263004</v>
      </c>
      <c r="N202" s="3">
        <v>1342.1299491525001</v>
      </c>
      <c r="O202" s="3">
        <v>1524.4957627118999</v>
      </c>
      <c r="P202" s="3">
        <v>1512.7382627119</v>
      </c>
      <c r="Q202" s="3">
        <v>1667.5796610169</v>
      </c>
      <c r="R202" s="3">
        <v>11215.555279661001</v>
      </c>
      <c r="S202" s="4">
        <v>0.99085886271400003</v>
      </c>
      <c r="T202" s="3">
        <v>0</v>
      </c>
      <c r="U202" s="2" t="s">
        <v>89</v>
      </c>
    </row>
    <row r="203" spans="1:21" ht="13.2">
      <c r="A203" s="2" t="s">
        <v>101</v>
      </c>
      <c r="B203" s="2" t="s">
        <v>102</v>
      </c>
      <c r="C203" s="2" t="s">
        <v>21</v>
      </c>
      <c r="D203" s="2" t="s">
        <v>80</v>
      </c>
      <c r="E203" s="2">
        <v>35</v>
      </c>
      <c r="F203" s="3">
        <v>666</v>
      </c>
      <c r="G203" s="3">
        <v>734.83644067797002</v>
      </c>
      <c r="H203" s="3">
        <v>442.37288135593002</v>
      </c>
      <c r="I203" s="3">
        <v>431</v>
      </c>
      <c r="J203" s="3">
        <v>462</v>
      </c>
      <c r="K203" s="3">
        <v>980.50847457627003</v>
      </c>
      <c r="L203" s="3">
        <v>599.383898305</v>
      </c>
      <c r="M203" s="3">
        <v>545.82741525423</v>
      </c>
      <c r="N203" s="3">
        <v>1646.6921440678</v>
      </c>
      <c r="O203" s="3">
        <v>1524.4957627118999</v>
      </c>
      <c r="P203" s="3">
        <v>1655.2451186441001</v>
      </c>
      <c r="Q203" s="3">
        <v>1511.2822033898001</v>
      </c>
      <c r="R203" s="3">
        <v>11199.644338983</v>
      </c>
      <c r="S203" s="4">
        <v>0.98945318139100003</v>
      </c>
      <c r="T203" s="3">
        <v>-15.910940678000999</v>
      </c>
      <c r="U203" s="2" t="s">
        <v>89</v>
      </c>
    </row>
    <row r="204" spans="1:21" ht="13.2">
      <c r="A204" s="2" t="s">
        <v>101</v>
      </c>
      <c r="B204" s="2" t="s">
        <v>102</v>
      </c>
      <c r="C204" s="2" t="s">
        <v>21</v>
      </c>
      <c r="D204" s="2" t="s">
        <v>81</v>
      </c>
      <c r="E204" s="2">
        <v>35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120</v>
      </c>
      <c r="R204" s="3">
        <v>120</v>
      </c>
      <c r="S204" s="4"/>
      <c r="T204" s="3"/>
      <c r="U204" s="2" t="s">
        <v>90</v>
      </c>
    </row>
    <row r="205" spans="1:21" ht="13.2">
      <c r="A205" s="2" t="s">
        <v>101</v>
      </c>
      <c r="B205" s="2" t="s">
        <v>102</v>
      </c>
      <c r="C205" s="2" t="s">
        <v>21</v>
      </c>
      <c r="D205" s="2" t="s">
        <v>82</v>
      </c>
      <c r="E205" s="2">
        <v>35</v>
      </c>
      <c r="F205" s="3">
        <v>666</v>
      </c>
      <c r="G205" s="3">
        <v>734.83644067797002</v>
      </c>
      <c r="H205" s="3">
        <v>442.37288135593002</v>
      </c>
      <c r="I205" s="3">
        <v>431</v>
      </c>
      <c r="J205" s="3">
        <v>462</v>
      </c>
      <c r="K205" s="3">
        <v>980.50847457627003</v>
      </c>
      <c r="L205" s="3">
        <v>599.383898305</v>
      </c>
      <c r="M205" s="3">
        <v>545.82741525423</v>
      </c>
      <c r="N205" s="3">
        <v>1646.6921440678</v>
      </c>
      <c r="O205" s="3">
        <v>1524.4957627118999</v>
      </c>
      <c r="P205" s="3">
        <v>1655.2451186441001</v>
      </c>
      <c r="Q205" s="3">
        <v>1631.2822033898001</v>
      </c>
      <c r="R205" s="3">
        <v>11319.644338983002</v>
      </c>
      <c r="S205" s="4">
        <v>1.0000548021360001</v>
      </c>
      <c r="T205" s="3"/>
      <c r="U205" s="2" t="s">
        <v>91</v>
      </c>
    </row>
    <row r="206" spans="1:21" ht="13.2">
      <c r="A206" s="2" t="s">
        <v>103</v>
      </c>
      <c r="B206" s="2" t="s">
        <v>104</v>
      </c>
      <c r="C206" s="2" t="s">
        <v>21</v>
      </c>
      <c r="D206" s="2" t="s">
        <v>12</v>
      </c>
      <c r="E206" s="2">
        <v>0</v>
      </c>
      <c r="F206" s="3">
        <v>1539.9072916831001</v>
      </c>
      <c r="G206" s="3">
        <v>1500.2926798399001</v>
      </c>
      <c r="H206" s="3">
        <v>1596.2283851983</v>
      </c>
      <c r="I206" s="3">
        <v>1874.2900536315999</v>
      </c>
      <c r="J206" s="3">
        <v>1326.8996503661999</v>
      </c>
      <c r="K206" s="3">
        <v>963.53367400215996</v>
      </c>
      <c r="L206" s="3">
        <v>1465.7406382002</v>
      </c>
      <c r="M206" s="3">
        <v>1305.2571627458001</v>
      </c>
      <c r="N206" s="3">
        <v>1142.8752234650001</v>
      </c>
      <c r="O206" s="3">
        <v>1004.9201854166</v>
      </c>
      <c r="P206" s="3">
        <v>753.94326757264002</v>
      </c>
      <c r="Q206" s="3">
        <v>949.99129870744002</v>
      </c>
      <c r="R206" s="3">
        <v>15423.879510828943</v>
      </c>
      <c r="S206" s="4"/>
      <c r="T206" s="3"/>
      <c r="U206" s="2" t="s">
        <v>87</v>
      </c>
    </row>
    <row r="207" spans="1:21" ht="13.2">
      <c r="A207" s="2" t="s">
        <v>103</v>
      </c>
      <c r="B207" s="2" t="s">
        <v>104</v>
      </c>
      <c r="C207" s="2" t="s">
        <v>21</v>
      </c>
      <c r="D207" s="2" t="s">
        <v>50</v>
      </c>
      <c r="E207" s="2">
        <v>5</v>
      </c>
      <c r="F207" s="3">
        <v>1242.935640096618</v>
      </c>
      <c r="G207" s="3">
        <v>1570.0051328502409</v>
      </c>
      <c r="H207" s="3">
        <v>1033.952103864734</v>
      </c>
      <c r="I207" s="3">
        <v>2472.2083993558781</v>
      </c>
      <c r="J207" s="3">
        <v>753.44486634460497</v>
      </c>
      <c r="K207" s="3">
        <v>1736.6435768115939</v>
      </c>
      <c r="L207" s="3">
        <v>438.99270080515299</v>
      </c>
      <c r="M207" s="3">
        <v>538.76634460547496</v>
      </c>
      <c r="N207" s="3">
        <v>830.07765410627997</v>
      </c>
      <c r="O207" s="3">
        <v>184.83974428341401</v>
      </c>
      <c r="P207" s="3">
        <v>0</v>
      </c>
      <c r="Q207" s="3">
        <v>0</v>
      </c>
      <c r="R207" s="3">
        <v>10801.866163123994</v>
      </c>
      <c r="S207" s="4">
        <v>0.70033393061299998</v>
      </c>
      <c r="T207" s="3"/>
      <c r="U207" s="2" t="s">
        <v>88</v>
      </c>
    </row>
    <row r="208" spans="1:21" ht="13.2">
      <c r="A208" s="2" t="s">
        <v>103</v>
      </c>
      <c r="B208" s="2" t="s">
        <v>104</v>
      </c>
      <c r="C208" s="2" t="s">
        <v>21</v>
      </c>
      <c r="D208" s="2" t="s">
        <v>51</v>
      </c>
      <c r="E208" s="2">
        <v>6</v>
      </c>
      <c r="F208" s="3">
        <v>1324</v>
      </c>
      <c r="G208" s="3">
        <v>1213</v>
      </c>
      <c r="H208" s="3">
        <v>1160.703877777778</v>
      </c>
      <c r="I208" s="3">
        <v>2499.734994444445</v>
      </c>
      <c r="J208" s="3">
        <v>742.681368253968</v>
      </c>
      <c r="K208" s="3">
        <v>1122.478605079365</v>
      </c>
      <c r="L208" s="3">
        <v>515.52940269841304</v>
      </c>
      <c r="M208" s="3">
        <v>0</v>
      </c>
      <c r="N208" s="3">
        <v>818.21940190476198</v>
      </c>
      <c r="O208" s="3">
        <v>182.19917650793599</v>
      </c>
      <c r="P208" s="3">
        <v>0</v>
      </c>
      <c r="Q208" s="3">
        <v>0</v>
      </c>
      <c r="R208" s="3">
        <v>9578.5468266666667</v>
      </c>
      <c r="S208" s="4">
        <v>0.62102059471799997</v>
      </c>
      <c r="T208" s="3">
        <v>-1223.3193364573269</v>
      </c>
      <c r="U208" s="2" t="s">
        <v>88</v>
      </c>
    </row>
    <row r="209" spans="1:21" ht="13.2">
      <c r="A209" s="2" t="s">
        <v>103</v>
      </c>
      <c r="B209" s="2" t="s">
        <v>104</v>
      </c>
      <c r="C209" s="2" t="s">
        <v>21</v>
      </c>
      <c r="D209" s="2" t="s">
        <v>52</v>
      </c>
      <c r="E209" s="2">
        <v>7</v>
      </c>
      <c r="F209" s="3">
        <v>1324</v>
      </c>
      <c r="G209" s="3">
        <v>1039.8637682539679</v>
      </c>
      <c r="H209" s="3">
        <v>1370.0628119047619</v>
      </c>
      <c r="I209" s="3">
        <v>2540.894327777778</v>
      </c>
      <c r="J209" s="3">
        <v>748.41834285714299</v>
      </c>
      <c r="K209" s="3">
        <v>1206.1500336507941</v>
      </c>
      <c r="L209" s="3">
        <v>515.52940269841304</v>
      </c>
      <c r="M209" s="3">
        <v>0</v>
      </c>
      <c r="N209" s="3">
        <v>818.21940190476198</v>
      </c>
      <c r="O209" s="3">
        <v>182.19917650793599</v>
      </c>
      <c r="P209" s="3">
        <v>0</v>
      </c>
      <c r="Q209" s="3">
        <v>0</v>
      </c>
      <c r="R209" s="3">
        <v>9745.3372655555577</v>
      </c>
      <c r="S209" s="4">
        <v>0.63183437466000003</v>
      </c>
      <c r="T209" s="3">
        <v>166.790438888891</v>
      </c>
      <c r="U209" s="2" t="s">
        <v>88</v>
      </c>
    </row>
    <row r="210" spans="1:21" ht="13.2">
      <c r="A210" s="2" t="s">
        <v>103</v>
      </c>
      <c r="B210" s="2" t="s">
        <v>104</v>
      </c>
      <c r="C210" s="2" t="s">
        <v>21</v>
      </c>
      <c r="D210" s="2" t="s">
        <v>53</v>
      </c>
      <c r="E210" s="2">
        <v>8</v>
      </c>
      <c r="F210" s="3">
        <v>1324</v>
      </c>
      <c r="G210" s="3">
        <v>1207</v>
      </c>
      <c r="H210" s="3">
        <v>1371.93719920635</v>
      </c>
      <c r="I210" s="3">
        <v>2540.894327777778</v>
      </c>
      <c r="J210" s="3">
        <v>748.41834285714299</v>
      </c>
      <c r="K210" s="3">
        <v>1206.1500336507941</v>
      </c>
      <c r="L210" s="3">
        <v>515.52940269841304</v>
      </c>
      <c r="M210" s="3">
        <v>0</v>
      </c>
      <c r="N210" s="3">
        <v>818.21940190476198</v>
      </c>
      <c r="O210" s="3">
        <v>182.19917650793599</v>
      </c>
      <c r="P210" s="3">
        <v>0</v>
      </c>
      <c r="Q210" s="3">
        <v>0</v>
      </c>
      <c r="R210" s="3">
        <v>9914.3478846031758</v>
      </c>
      <c r="S210" s="4">
        <v>0.64279209894300005</v>
      </c>
      <c r="T210" s="3">
        <v>169.01061904761801</v>
      </c>
      <c r="U210" s="2" t="s">
        <v>88</v>
      </c>
    </row>
    <row r="211" spans="1:21" ht="13.2">
      <c r="A211" s="2" t="s">
        <v>103</v>
      </c>
      <c r="B211" s="2" t="s">
        <v>104</v>
      </c>
      <c r="C211" s="2" t="s">
        <v>21</v>
      </c>
      <c r="D211" s="2" t="s">
        <v>54</v>
      </c>
      <c r="E211" s="2">
        <v>9</v>
      </c>
      <c r="F211" s="3">
        <v>1324</v>
      </c>
      <c r="G211" s="3">
        <v>1398.0952380952381</v>
      </c>
      <c r="H211" s="3">
        <v>1187.279396031746</v>
      </c>
      <c r="I211" s="3">
        <v>2731.049388095239</v>
      </c>
      <c r="J211" s="3">
        <v>881.61181269841302</v>
      </c>
      <c r="K211" s="3">
        <v>1206.1500336507941</v>
      </c>
      <c r="L211" s="3">
        <v>515.52940269841304</v>
      </c>
      <c r="M211" s="3">
        <v>0</v>
      </c>
      <c r="N211" s="3">
        <v>818.21940190476198</v>
      </c>
      <c r="O211" s="3">
        <v>182.19917650793599</v>
      </c>
      <c r="P211" s="3">
        <v>0</v>
      </c>
      <c r="Q211" s="3">
        <v>0</v>
      </c>
      <c r="R211" s="3">
        <v>10244.133849682541</v>
      </c>
      <c r="S211" s="4">
        <v>0.66417361744100001</v>
      </c>
      <c r="T211" s="3">
        <v>329.78596507936498</v>
      </c>
      <c r="U211" s="2" t="s">
        <v>88</v>
      </c>
    </row>
    <row r="212" spans="1:21" ht="13.2">
      <c r="A212" s="2" t="s">
        <v>103</v>
      </c>
      <c r="B212" s="2" t="s">
        <v>104</v>
      </c>
      <c r="C212" s="2" t="s">
        <v>21</v>
      </c>
      <c r="D212" s="2" t="s">
        <v>55</v>
      </c>
      <c r="E212" s="2">
        <v>10</v>
      </c>
      <c r="F212" s="3">
        <v>1324</v>
      </c>
      <c r="G212" s="3">
        <v>1257</v>
      </c>
      <c r="H212" s="3">
        <v>1217</v>
      </c>
      <c r="I212" s="3">
        <v>2674.6136753968249</v>
      </c>
      <c r="J212" s="3">
        <v>635.19105000000002</v>
      </c>
      <c r="K212" s="3">
        <v>1119.6584352380951</v>
      </c>
      <c r="L212" s="3">
        <v>360.86908841269798</v>
      </c>
      <c r="M212" s="3">
        <v>205.71110952380999</v>
      </c>
      <c r="N212" s="3">
        <v>1194.2169447619051</v>
      </c>
      <c r="O212" s="3">
        <v>227.46030825396801</v>
      </c>
      <c r="P212" s="3">
        <v>0</v>
      </c>
      <c r="Q212" s="3">
        <v>0</v>
      </c>
      <c r="R212" s="3">
        <v>10215.720611587301</v>
      </c>
      <c r="S212" s="4">
        <v>0.66233145846399999</v>
      </c>
      <c r="T212" s="3">
        <v>-28.413238095240001</v>
      </c>
      <c r="U212" s="2" t="s">
        <v>88</v>
      </c>
    </row>
    <row r="213" spans="1:21" ht="13.2">
      <c r="A213" s="2" t="s">
        <v>103</v>
      </c>
      <c r="B213" s="2" t="s">
        <v>104</v>
      </c>
      <c r="C213" s="2" t="s">
        <v>21</v>
      </c>
      <c r="D213" s="2" t="s">
        <v>56</v>
      </c>
      <c r="E213" s="2">
        <v>11</v>
      </c>
      <c r="F213" s="3">
        <v>1324</v>
      </c>
      <c r="G213" s="3">
        <v>1257</v>
      </c>
      <c r="H213" s="3">
        <v>1239</v>
      </c>
      <c r="I213" s="3">
        <v>2530.6206452380961</v>
      </c>
      <c r="J213" s="3">
        <v>658.14534365079396</v>
      </c>
      <c r="K213" s="3">
        <v>1114.7265923809521</v>
      </c>
      <c r="L213" s="3">
        <v>359.80890428571399</v>
      </c>
      <c r="M213" s="3">
        <v>941.2373</v>
      </c>
      <c r="N213" s="3">
        <v>1189.2851019047621</v>
      </c>
      <c r="O213" s="3">
        <v>217.65212253968301</v>
      </c>
      <c r="P213" s="3">
        <v>0</v>
      </c>
      <c r="Q213" s="3">
        <v>0</v>
      </c>
      <c r="R213" s="3">
        <v>10831.47601</v>
      </c>
      <c r="S213" s="4">
        <v>0.70225367115899995</v>
      </c>
      <c r="T213" s="3">
        <v>615.75539841269904</v>
      </c>
      <c r="U213" s="2" t="s">
        <v>88</v>
      </c>
    </row>
    <row r="214" spans="1:21" ht="13.2">
      <c r="A214" s="2" t="s">
        <v>103</v>
      </c>
      <c r="B214" s="2" t="s">
        <v>104</v>
      </c>
      <c r="C214" s="2" t="s">
        <v>21</v>
      </c>
      <c r="D214" s="2" t="s">
        <v>57</v>
      </c>
      <c r="E214" s="2">
        <v>12</v>
      </c>
      <c r="F214" s="3">
        <v>1324</v>
      </c>
      <c r="G214" s="3">
        <v>1257</v>
      </c>
      <c r="H214" s="3">
        <v>1046</v>
      </c>
      <c r="I214" s="3">
        <v>2484.3514849206349</v>
      </c>
      <c r="J214" s="3">
        <v>1055.643401111111</v>
      </c>
      <c r="K214" s="3">
        <v>1199.6496336507939</v>
      </c>
      <c r="L214" s="3">
        <v>223.04738968254</v>
      </c>
      <c r="M214" s="3">
        <v>941.2373</v>
      </c>
      <c r="N214" s="3">
        <v>1174.7366876190481</v>
      </c>
      <c r="O214" s="3">
        <v>199.23204952380999</v>
      </c>
      <c r="P214" s="3">
        <v>0</v>
      </c>
      <c r="Q214" s="3">
        <v>0</v>
      </c>
      <c r="R214" s="3">
        <v>10904.897946507937</v>
      </c>
      <c r="S214" s="4">
        <v>0.70701394800499995</v>
      </c>
      <c r="T214" s="3">
        <v>73.421936507937005</v>
      </c>
      <c r="U214" s="2" t="s">
        <v>88</v>
      </c>
    </row>
    <row r="215" spans="1:21" ht="13.2">
      <c r="A215" s="2" t="s">
        <v>103</v>
      </c>
      <c r="B215" s="2" t="s">
        <v>104</v>
      </c>
      <c r="C215" s="2" t="s">
        <v>21</v>
      </c>
      <c r="D215" s="2" t="s">
        <v>58</v>
      </c>
      <c r="E215" s="2">
        <v>13</v>
      </c>
      <c r="F215" s="3">
        <v>1324</v>
      </c>
      <c r="G215" s="3">
        <v>1257</v>
      </c>
      <c r="H215" s="3">
        <v>905</v>
      </c>
      <c r="I215" s="3">
        <v>2375.951333333333</v>
      </c>
      <c r="J215" s="3">
        <v>1301.6602876190479</v>
      </c>
      <c r="K215" s="3">
        <v>1206.5099511111109</v>
      </c>
      <c r="L215" s="3">
        <v>294.41671507936502</v>
      </c>
      <c r="M215" s="3">
        <v>941.2373</v>
      </c>
      <c r="N215" s="3">
        <v>1174.7366876190481</v>
      </c>
      <c r="O215" s="3">
        <v>199.23204952380999</v>
      </c>
      <c r="P215" s="3">
        <v>0</v>
      </c>
      <c r="Q215" s="3">
        <v>0</v>
      </c>
      <c r="R215" s="3">
        <v>10979.744324285715</v>
      </c>
      <c r="S215" s="4">
        <v>0.711866577833</v>
      </c>
      <c r="T215" s="3">
        <v>74.846377777778002</v>
      </c>
      <c r="U215" s="2" t="s">
        <v>88</v>
      </c>
    </row>
    <row r="216" spans="1:21" ht="13.2">
      <c r="A216" s="2" t="s">
        <v>103</v>
      </c>
      <c r="B216" s="2" t="s">
        <v>104</v>
      </c>
      <c r="C216" s="2" t="s">
        <v>21</v>
      </c>
      <c r="D216" s="2" t="s">
        <v>59</v>
      </c>
      <c r="E216" s="2">
        <v>14</v>
      </c>
      <c r="F216" s="3">
        <v>1324</v>
      </c>
      <c r="G216" s="3">
        <v>1257</v>
      </c>
      <c r="H216" s="3">
        <v>1091</v>
      </c>
      <c r="I216" s="3">
        <v>2416</v>
      </c>
      <c r="J216" s="3">
        <v>1332.580766984127</v>
      </c>
      <c r="K216" s="3">
        <v>1392.1325558730159</v>
      </c>
      <c r="L216" s="3">
        <v>294.41671507936502</v>
      </c>
      <c r="M216" s="3">
        <v>941.2373</v>
      </c>
      <c r="N216" s="3">
        <v>1174.7366876190481</v>
      </c>
      <c r="O216" s="3">
        <v>199.23204952380999</v>
      </c>
      <c r="P216" s="3">
        <v>0</v>
      </c>
      <c r="Q216" s="3">
        <v>0</v>
      </c>
      <c r="R216" s="3">
        <v>11422.336075079365</v>
      </c>
      <c r="S216" s="4">
        <v>0.74056180658399995</v>
      </c>
      <c r="T216" s="3">
        <v>442.59175079365002</v>
      </c>
      <c r="U216" s="2" t="s">
        <v>88</v>
      </c>
    </row>
    <row r="217" spans="1:21" ht="13.2">
      <c r="A217" s="2" t="s">
        <v>103</v>
      </c>
      <c r="B217" s="2" t="s">
        <v>104</v>
      </c>
      <c r="C217" s="2" t="s">
        <v>21</v>
      </c>
      <c r="D217" s="2" t="s">
        <v>60</v>
      </c>
      <c r="E217" s="2">
        <v>15</v>
      </c>
      <c r="F217" s="3">
        <v>1324</v>
      </c>
      <c r="G217" s="3">
        <v>1257</v>
      </c>
      <c r="H217" s="3">
        <v>1091</v>
      </c>
      <c r="I217" s="3">
        <v>2250</v>
      </c>
      <c r="J217" s="3">
        <v>1498.6429479365081</v>
      </c>
      <c r="K217" s="3">
        <v>1402.0774892063489</v>
      </c>
      <c r="L217" s="3">
        <v>412.96523095238098</v>
      </c>
      <c r="M217" s="3">
        <v>1010.441547619048</v>
      </c>
      <c r="N217" s="3">
        <v>1174.7366876190481</v>
      </c>
      <c r="O217" s="3">
        <v>199.23204952380999</v>
      </c>
      <c r="P217" s="3">
        <v>0</v>
      </c>
      <c r="Q217" s="3">
        <v>0</v>
      </c>
      <c r="R217" s="3">
        <v>11620.095952857144</v>
      </c>
      <c r="S217" s="4">
        <v>0.75338347558399998</v>
      </c>
      <c r="T217" s="3">
        <v>197.759877777778</v>
      </c>
      <c r="U217" s="2" t="s">
        <v>88</v>
      </c>
    </row>
    <row r="218" spans="1:21" ht="13.2">
      <c r="A218" s="2" t="s">
        <v>103</v>
      </c>
      <c r="B218" s="2" t="s">
        <v>104</v>
      </c>
      <c r="C218" s="2" t="s">
        <v>21</v>
      </c>
      <c r="D218" s="2" t="s">
        <v>61</v>
      </c>
      <c r="E218" s="2">
        <v>16</v>
      </c>
      <c r="F218" s="3">
        <v>1324</v>
      </c>
      <c r="G218" s="3">
        <v>1257</v>
      </c>
      <c r="H218" s="3">
        <v>1091</v>
      </c>
      <c r="I218" s="3">
        <v>2306</v>
      </c>
      <c r="J218" s="3">
        <v>1500.869478095238</v>
      </c>
      <c r="K218" s="3">
        <v>1431.126193968254</v>
      </c>
      <c r="L218" s="3">
        <v>429.93069285714301</v>
      </c>
      <c r="M218" s="3">
        <v>1067.597261904762</v>
      </c>
      <c r="N218" s="3">
        <v>1174.7366876190481</v>
      </c>
      <c r="O218" s="3">
        <v>199.23204952380999</v>
      </c>
      <c r="P218" s="3">
        <v>0</v>
      </c>
      <c r="Q218" s="3">
        <v>0</v>
      </c>
      <c r="R218" s="3">
        <v>11781.492363968255</v>
      </c>
      <c r="S218" s="4">
        <v>0.76384753626299995</v>
      </c>
      <c r="T218" s="3">
        <v>161.39641111111101</v>
      </c>
      <c r="U218" s="2" t="s">
        <v>88</v>
      </c>
    </row>
    <row r="219" spans="1:21" ht="13.2">
      <c r="A219" s="2" t="s">
        <v>103</v>
      </c>
      <c r="B219" s="2" t="s">
        <v>104</v>
      </c>
      <c r="C219" s="2" t="s">
        <v>21</v>
      </c>
      <c r="D219" s="2" t="s">
        <v>62</v>
      </c>
      <c r="E219" s="2">
        <v>17</v>
      </c>
      <c r="F219" s="3">
        <v>1324</v>
      </c>
      <c r="G219" s="3">
        <v>1257</v>
      </c>
      <c r="H219" s="3">
        <v>1091</v>
      </c>
      <c r="I219" s="3">
        <v>2334</v>
      </c>
      <c r="J219" s="3">
        <v>1436.5160709523809</v>
      </c>
      <c r="K219" s="3">
        <v>1505.1793479365081</v>
      </c>
      <c r="L219" s="3">
        <v>441.53781428571398</v>
      </c>
      <c r="M219" s="3">
        <v>1291.284792063492</v>
      </c>
      <c r="N219" s="3">
        <v>1174.7366876190481</v>
      </c>
      <c r="O219" s="3">
        <v>199.23204952380999</v>
      </c>
      <c r="P219" s="3">
        <v>0</v>
      </c>
      <c r="Q219" s="3">
        <v>0</v>
      </c>
      <c r="R219" s="3">
        <v>12054.486762380953</v>
      </c>
      <c r="S219" s="4">
        <v>0.78154700015099998</v>
      </c>
      <c r="T219" s="3">
        <v>272.99439841269901</v>
      </c>
      <c r="U219" s="2" t="s">
        <v>88</v>
      </c>
    </row>
    <row r="220" spans="1:21" ht="13.2">
      <c r="A220" s="2" t="s">
        <v>103</v>
      </c>
      <c r="B220" s="2" t="s">
        <v>104</v>
      </c>
      <c r="C220" s="2" t="s">
        <v>21</v>
      </c>
      <c r="D220" s="2" t="s">
        <v>63</v>
      </c>
      <c r="E220" s="2">
        <v>18</v>
      </c>
      <c r="F220" s="3">
        <v>1324</v>
      </c>
      <c r="G220" s="3">
        <v>1257</v>
      </c>
      <c r="H220" s="3">
        <v>1091</v>
      </c>
      <c r="I220" s="3">
        <v>2279</v>
      </c>
      <c r="J220" s="3">
        <v>1484.0785709523809</v>
      </c>
      <c r="K220" s="3">
        <v>1498.4441653968249</v>
      </c>
      <c r="L220" s="3">
        <v>441.53781428571398</v>
      </c>
      <c r="M220" s="3">
        <v>1291.284792063492</v>
      </c>
      <c r="N220" s="3">
        <v>1174.7366876190481</v>
      </c>
      <c r="O220" s="3">
        <v>199.23204952380999</v>
      </c>
      <c r="P220" s="3">
        <v>0</v>
      </c>
      <c r="Q220" s="3">
        <v>0</v>
      </c>
      <c r="R220" s="3">
        <v>12040.31407984127</v>
      </c>
      <c r="S220" s="4">
        <v>0.78062812092</v>
      </c>
      <c r="T220" s="3">
        <v>-14.172682539684001</v>
      </c>
      <c r="U220" s="2" t="s">
        <v>88</v>
      </c>
    </row>
    <row r="221" spans="1:21" ht="13.2">
      <c r="A221" s="2" t="s">
        <v>103</v>
      </c>
      <c r="B221" s="2" t="s">
        <v>104</v>
      </c>
      <c r="C221" s="2" t="s">
        <v>21</v>
      </c>
      <c r="D221" s="2" t="s">
        <v>64</v>
      </c>
      <c r="E221" s="2">
        <v>19</v>
      </c>
      <c r="F221" s="3">
        <v>1324</v>
      </c>
      <c r="G221" s="3">
        <v>1257</v>
      </c>
      <c r="H221" s="3">
        <v>1091</v>
      </c>
      <c r="I221" s="3">
        <v>2176</v>
      </c>
      <c r="J221" s="3">
        <v>1276</v>
      </c>
      <c r="K221" s="3">
        <v>1571.957410634921</v>
      </c>
      <c r="L221" s="3">
        <v>640.96860000000004</v>
      </c>
      <c r="M221" s="3">
        <v>702.46452857142901</v>
      </c>
      <c r="N221" s="3">
        <v>1211.299005079366</v>
      </c>
      <c r="O221" s="3">
        <v>193.14655587301601</v>
      </c>
      <c r="P221" s="3">
        <v>148.49980634920601</v>
      </c>
      <c r="Q221" s="3">
        <v>735.526190476191</v>
      </c>
      <c r="R221" s="3">
        <v>12327.862096984127</v>
      </c>
      <c r="S221" s="4">
        <v>0.79927116185799996</v>
      </c>
      <c r="T221" s="3">
        <v>287.54801714285702</v>
      </c>
      <c r="U221" s="2" t="s">
        <v>88</v>
      </c>
    </row>
    <row r="222" spans="1:21" ht="13.2">
      <c r="A222" s="2" t="s">
        <v>103</v>
      </c>
      <c r="B222" s="2" t="s">
        <v>104</v>
      </c>
      <c r="C222" s="2" t="s">
        <v>21</v>
      </c>
      <c r="D222" s="2" t="s">
        <v>65</v>
      </c>
      <c r="E222" s="2">
        <v>20</v>
      </c>
      <c r="F222" s="3">
        <v>1324</v>
      </c>
      <c r="G222" s="3">
        <v>1257</v>
      </c>
      <c r="H222" s="3">
        <v>1091</v>
      </c>
      <c r="I222" s="3">
        <v>2177</v>
      </c>
      <c r="J222" s="3">
        <v>1276</v>
      </c>
      <c r="K222" s="3">
        <v>1571.957410634921</v>
      </c>
      <c r="L222" s="3">
        <v>640.96860000000004</v>
      </c>
      <c r="M222" s="3">
        <v>702.46452857142901</v>
      </c>
      <c r="N222" s="3">
        <v>1211.299005079366</v>
      </c>
      <c r="O222" s="3">
        <v>193.14655587301601</v>
      </c>
      <c r="P222" s="3">
        <v>148.49980634920601</v>
      </c>
      <c r="Q222" s="3">
        <v>735.526190476191</v>
      </c>
      <c r="R222" s="3">
        <v>12328.862096984127</v>
      </c>
      <c r="S222" s="4">
        <v>0.79933599638999997</v>
      </c>
      <c r="T222" s="3">
        <v>1</v>
      </c>
      <c r="U222" s="2" t="s">
        <v>88</v>
      </c>
    </row>
    <row r="223" spans="1:21" ht="13.2">
      <c r="A223" s="2" t="s">
        <v>103</v>
      </c>
      <c r="B223" s="2" t="s">
        <v>104</v>
      </c>
      <c r="C223" s="2" t="s">
        <v>21</v>
      </c>
      <c r="D223" s="2" t="s">
        <v>66</v>
      </c>
      <c r="E223" s="2">
        <v>21</v>
      </c>
      <c r="F223" s="3">
        <v>1324</v>
      </c>
      <c r="G223" s="3">
        <v>1257</v>
      </c>
      <c r="H223" s="3">
        <v>1091</v>
      </c>
      <c r="I223" s="3">
        <v>2177</v>
      </c>
      <c r="J223" s="3">
        <v>1194</v>
      </c>
      <c r="K223" s="3">
        <v>1652.321940793651</v>
      </c>
      <c r="L223" s="3">
        <v>640.96860000000004</v>
      </c>
      <c r="M223" s="3">
        <v>709.32484603174601</v>
      </c>
      <c r="N223" s="3">
        <v>1265.773343968254</v>
      </c>
      <c r="O223" s="3">
        <v>193.14655587301601</v>
      </c>
      <c r="P223" s="3">
        <v>148.49980634920601</v>
      </c>
      <c r="Q223" s="3">
        <v>742.069968253968</v>
      </c>
      <c r="R223" s="3">
        <v>12395.105061269842</v>
      </c>
      <c r="S223" s="4">
        <v>0.80363082793600005</v>
      </c>
      <c r="T223" s="3">
        <v>66.242964285715004</v>
      </c>
      <c r="U223" s="2" t="s">
        <v>88</v>
      </c>
    </row>
    <row r="224" spans="1:21" ht="13.2">
      <c r="A224" s="2" t="s">
        <v>103</v>
      </c>
      <c r="B224" s="2" t="s">
        <v>104</v>
      </c>
      <c r="C224" s="2" t="s">
        <v>21</v>
      </c>
      <c r="D224" s="2" t="s">
        <v>67</v>
      </c>
      <c r="E224" s="2">
        <v>22</v>
      </c>
      <c r="F224" s="3">
        <v>1324</v>
      </c>
      <c r="G224" s="3">
        <v>1257</v>
      </c>
      <c r="H224" s="3">
        <v>1091</v>
      </c>
      <c r="I224" s="3">
        <v>2177</v>
      </c>
      <c r="J224" s="3">
        <v>1190</v>
      </c>
      <c r="K224" s="3">
        <v>1704.7942280952379</v>
      </c>
      <c r="L224" s="3">
        <v>656.35336190476198</v>
      </c>
      <c r="M224" s="3">
        <v>723.160652380952</v>
      </c>
      <c r="N224" s="3">
        <v>1274.186924920635</v>
      </c>
      <c r="O224" s="3">
        <v>193.14655587301601</v>
      </c>
      <c r="P224" s="3">
        <v>158.195142857143</v>
      </c>
      <c r="Q224" s="3">
        <v>742.069968253968</v>
      </c>
      <c r="R224" s="3">
        <v>12490.906834285715</v>
      </c>
      <c r="S224" s="4">
        <v>0.80984209099399995</v>
      </c>
      <c r="T224" s="3">
        <v>95.801773015874005</v>
      </c>
      <c r="U224" s="2" t="s">
        <v>88</v>
      </c>
    </row>
    <row r="225" spans="1:21" ht="13.2">
      <c r="A225" s="2" t="s">
        <v>103</v>
      </c>
      <c r="B225" s="2" t="s">
        <v>104</v>
      </c>
      <c r="C225" s="2" t="s">
        <v>21</v>
      </c>
      <c r="D225" s="2" t="s">
        <v>68</v>
      </c>
      <c r="E225" s="2">
        <v>23</v>
      </c>
      <c r="F225" s="3">
        <v>1324</v>
      </c>
      <c r="G225" s="3">
        <v>1257</v>
      </c>
      <c r="H225" s="3">
        <v>1091</v>
      </c>
      <c r="I225" s="3">
        <v>2177</v>
      </c>
      <c r="J225" s="3">
        <v>1150</v>
      </c>
      <c r="K225" s="3">
        <v>1363</v>
      </c>
      <c r="L225" s="3">
        <v>924.96053174603196</v>
      </c>
      <c r="M225" s="3">
        <v>809.00294444444398</v>
      </c>
      <c r="N225" s="3">
        <v>1382.32298920635</v>
      </c>
      <c r="O225" s="3">
        <v>220.51459396825399</v>
      </c>
      <c r="P225" s="3">
        <v>158.195142857143</v>
      </c>
      <c r="Q225" s="3">
        <v>742.069968253968</v>
      </c>
      <c r="R225" s="3">
        <v>12599.066170476191</v>
      </c>
      <c r="S225" s="4">
        <v>0.81685455086900005</v>
      </c>
      <c r="T225" s="3">
        <v>108.159336190476</v>
      </c>
      <c r="U225" s="2" t="s">
        <v>88</v>
      </c>
    </row>
    <row r="226" spans="1:21" ht="13.2">
      <c r="A226" s="2" t="s">
        <v>103</v>
      </c>
      <c r="B226" s="2" t="s">
        <v>104</v>
      </c>
      <c r="C226" s="2" t="s">
        <v>21</v>
      </c>
      <c r="D226" s="2" t="s">
        <v>69</v>
      </c>
      <c r="E226" s="2">
        <v>24</v>
      </c>
      <c r="F226" s="3">
        <v>1324</v>
      </c>
      <c r="G226" s="3">
        <v>1257</v>
      </c>
      <c r="H226" s="3">
        <v>1091</v>
      </c>
      <c r="I226" s="3">
        <v>2177</v>
      </c>
      <c r="J226" s="3">
        <v>1150</v>
      </c>
      <c r="K226" s="3">
        <v>1327</v>
      </c>
      <c r="L226" s="3">
        <v>916.06128571428599</v>
      </c>
      <c r="M226" s="3">
        <v>1280.646306666667</v>
      </c>
      <c r="N226" s="3">
        <v>1399.9798796825401</v>
      </c>
      <c r="O226" s="3">
        <v>235.46938571428601</v>
      </c>
      <c r="P226" s="3">
        <v>158.195301587302</v>
      </c>
      <c r="Q226" s="3">
        <v>742.070126984127</v>
      </c>
      <c r="R226" s="3">
        <v>13058.422286349207</v>
      </c>
      <c r="S226" s="4">
        <v>0.84663668937400005</v>
      </c>
      <c r="T226" s="3">
        <v>459.35611587301503</v>
      </c>
      <c r="U226" s="2" t="s">
        <v>88</v>
      </c>
    </row>
    <row r="227" spans="1:21" ht="13.2">
      <c r="A227" s="2" t="s">
        <v>103</v>
      </c>
      <c r="B227" s="2" t="s">
        <v>104</v>
      </c>
      <c r="C227" s="2" t="s">
        <v>21</v>
      </c>
      <c r="D227" s="2" t="s">
        <v>70</v>
      </c>
      <c r="E227" s="2">
        <v>25</v>
      </c>
      <c r="F227" s="3">
        <v>1324</v>
      </c>
      <c r="G227" s="3">
        <v>1257</v>
      </c>
      <c r="H227" s="3">
        <v>1091</v>
      </c>
      <c r="I227" s="3">
        <v>2177</v>
      </c>
      <c r="J227" s="3">
        <v>1150</v>
      </c>
      <c r="K227" s="3">
        <v>1267.092346031746</v>
      </c>
      <c r="L227" s="3">
        <v>1017.116144444445</v>
      </c>
      <c r="M227" s="3">
        <v>1296.2756653968249</v>
      </c>
      <c r="N227" s="3">
        <v>1460.1417368253969</v>
      </c>
      <c r="O227" s="3">
        <v>235.46938571428601</v>
      </c>
      <c r="P227" s="3">
        <v>158.195301587302</v>
      </c>
      <c r="Q227" s="3">
        <v>742.070126984127</v>
      </c>
      <c r="R227" s="3">
        <v>13175.360706984127</v>
      </c>
      <c r="S227" s="4">
        <v>0.85421833707499994</v>
      </c>
      <c r="T227" s="3">
        <v>116.93842063492001</v>
      </c>
      <c r="U227" s="2" t="s">
        <v>88</v>
      </c>
    </row>
    <row r="228" spans="1:21" ht="13.2">
      <c r="A228" s="2" t="s">
        <v>103</v>
      </c>
      <c r="B228" s="2" t="s">
        <v>104</v>
      </c>
      <c r="C228" s="2" t="s">
        <v>21</v>
      </c>
      <c r="D228" s="2" t="s">
        <v>71</v>
      </c>
      <c r="E228" s="2">
        <v>26</v>
      </c>
      <c r="F228" s="3">
        <v>1324</v>
      </c>
      <c r="G228" s="3">
        <v>1257</v>
      </c>
      <c r="H228" s="3">
        <v>1091</v>
      </c>
      <c r="I228" s="3">
        <v>2177</v>
      </c>
      <c r="J228" s="3">
        <v>1150</v>
      </c>
      <c r="K228" s="3">
        <v>1316</v>
      </c>
      <c r="L228" s="3">
        <v>971.81446349206396</v>
      </c>
      <c r="M228" s="3">
        <v>1423.2597923809519</v>
      </c>
      <c r="N228" s="3">
        <v>1763.2157463492069</v>
      </c>
      <c r="O228" s="3">
        <v>356.14081428571399</v>
      </c>
      <c r="P228" s="3">
        <v>9.6954952380950008</v>
      </c>
      <c r="Q228" s="3">
        <v>6.5439365079370004</v>
      </c>
      <c r="R228" s="3">
        <v>12845.670248253969</v>
      </c>
      <c r="S228" s="4">
        <v>0.83284301068599997</v>
      </c>
      <c r="T228" s="3">
        <v>-329.69045873015801</v>
      </c>
      <c r="U228" s="2" t="s">
        <v>88</v>
      </c>
    </row>
    <row r="229" spans="1:21" ht="13.2">
      <c r="A229" s="2" t="s">
        <v>103</v>
      </c>
      <c r="B229" s="2" t="s">
        <v>104</v>
      </c>
      <c r="C229" s="2" t="s">
        <v>21</v>
      </c>
      <c r="D229" s="2" t="s">
        <v>72</v>
      </c>
      <c r="E229" s="2">
        <v>27</v>
      </c>
      <c r="F229" s="3">
        <v>1324</v>
      </c>
      <c r="G229" s="3">
        <v>1257</v>
      </c>
      <c r="H229" s="3">
        <v>1091</v>
      </c>
      <c r="I229" s="3">
        <v>2177</v>
      </c>
      <c r="J229" s="3">
        <v>1150</v>
      </c>
      <c r="K229" s="3">
        <v>1259</v>
      </c>
      <c r="L229" s="3">
        <v>1137.5676476190461</v>
      </c>
      <c r="M229" s="3">
        <v>1405.85430031746</v>
      </c>
      <c r="N229" s="3">
        <v>1844.466009841271</v>
      </c>
      <c r="O229" s="3">
        <v>592.08348095238102</v>
      </c>
      <c r="P229" s="3">
        <v>34.751050793650997</v>
      </c>
      <c r="Q229" s="3">
        <v>6.5439365079370004</v>
      </c>
      <c r="R229" s="3">
        <v>13279.266426031747</v>
      </c>
      <c r="S229" s="4">
        <v>0.86095501567599997</v>
      </c>
      <c r="T229" s="3">
        <v>433.596177777778</v>
      </c>
      <c r="U229" s="2" t="s">
        <v>89</v>
      </c>
    </row>
    <row r="230" spans="1:21" ht="13.2">
      <c r="A230" s="2" t="s">
        <v>103</v>
      </c>
      <c r="B230" s="2" t="s">
        <v>104</v>
      </c>
      <c r="C230" s="2" t="s">
        <v>21</v>
      </c>
      <c r="D230" s="2" t="s">
        <v>73</v>
      </c>
      <c r="E230" s="2">
        <v>28</v>
      </c>
      <c r="F230" s="3">
        <v>1324</v>
      </c>
      <c r="G230" s="3">
        <v>1257</v>
      </c>
      <c r="H230" s="3">
        <v>1091</v>
      </c>
      <c r="I230" s="3">
        <v>2177</v>
      </c>
      <c r="J230" s="3">
        <v>1150</v>
      </c>
      <c r="K230" s="3">
        <v>1259</v>
      </c>
      <c r="L230" s="3">
        <v>1135.610402380953</v>
      </c>
      <c r="M230" s="3">
        <v>1470.267335238095</v>
      </c>
      <c r="N230" s="3">
        <v>2003.543855873017</v>
      </c>
      <c r="O230" s="3">
        <v>609.18553015872999</v>
      </c>
      <c r="P230" s="3">
        <v>46.410371428570997</v>
      </c>
      <c r="Q230" s="3">
        <v>6.5439365079370004</v>
      </c>
      <c r="R230" s="3">
        <v>13529.561431587303</v>
      </c>
      <c r="S230" s="4">
        <v>0.87718277506599995</v>
      </c>
      <c r="T230" s="3">
        <v>250.295005555556</v>
      </c>
      <c r="U230" s="2" t="s">
        <v>89</v>
      </c>
    </row>
    <row r="231" spans="1:21" ht="13.2">
      <c r="A231" s="2" t="s">
        <v>103</v>
      </c>
      <c r="B231" s="2" t="s">
        <v>104</v>
      </c>
      <c r="C231" s="2" t="s">
        <v>21</v>
      </c>
      <c r="D231" s="2" t="s">
        <v>74</v>
      </c>
      <c r="E231" s="2">
        <v>29</v>
      </c>
      <c r="F231" s="3">
        <v>1324</v>
      </c>
      <c r="G231" s="3">
        <v>1257</v>
      </c>
      <c r="H231" s="3">
        <v>1091</v>
      </c>
      <c r="I231" s="3">
        <v>2177</v>
      </c>
      <c r="J231" s="3">
        <v>1150</v>
      </c>
      <c r="K231" s="3">
        <v>1259</v>
      </c>
      <c r="L231" s="3">
        <v>984.38765000000103</v>
      </c>
      <c r="M231" s="3">
        <v>1523.043106666667</v>
      </c>
      <c r="N231" s="3">
        <v>1947.370428095239</v>
      </c>
      <c r="O231" s="3">
        <v>609.18553015872999</v>
      </c>
      <c r="P231" s="3">
        <v>258.51250238095201</v>
      </c>
      <c r="Q231" s="3">
        <v>6.5439365079370004</v>
      </c>
      <c r="R231" s="3">
        <v>13587.043153809525</v>
      </c>
      <c r="S231" s="4">
        <v>0.88090957558799998</v>
      </c>
      <c r="T231" s="3">
        <v>57.481722222222999</v>
      </c>
      <c r="U231" s="2" t="s">
        <v>89</v>
      </c>
    </row>
    <row r="232" spans="1:21" ht="13.2">
      <c r="A232" s="2" t="s">
        <v>103</v>
      </c>
      <c r="B232" s="2" t="s">
        <v>104</v>
      </c>
      <c r="C232" s="2" t="s">
        <v>21</v>
      </c>
      <c r="D232" s="2" t="s">
        <v>75</v>
      </c>
      <c r="E232" s="2">
        <v>30</v>
      </c>
      <c r="F232" s="3">
        <v>1324</v>
      </c>
      <c r="G232" s="3">
        <v>1257</v>
      </c>
      <c r="H232" s="3">
        <v>1091</v>
      </c>
      <c r="I232" s="3">
        <v>2177</v>
      </c>
      <c r="J232" s="3">
        <v>1150</v>
      </c>
      <c r="K232" s="3">
        <v>1259</v>
      </c>
      <c r="L232" s="3">
        <v>981.59118253967995</v>
      </c>
      <c r="M232" s="3">
        <v>1540.4886495237999</v>
      </c>
      <c r="N232" s="3">
        <v>2088.4901288889</v>
      </c>
      <c r="O232" s="3">
        <v>710.48830476190994</v>
      </c>
      <c r="P232" s="3">
        <v>258.51250238095002</v>
      </c>
      <c r="Q232" s="3">
        <v>6.5439365079370004</v>
      </c>
      <c r="R232" s="3">
        <v>13844.114704603</v>
      </c>
      <c r="S232" s="4">
        <v>0.89757668911300004</v>
      </c>
      <c r="T232" s="3">
        <v>257.07155079347501</v>
      </c>
      <c r="U232" s="2" t="s">
        <v>89</v>
      </c>
    </row>
    <row r="233" spans="1:21" ht="13.2">
      <c r="A233" s="2" t="s">
        <v>103</v>
      </c>
      <c r="B233" s="2" t="s">
        <v>104</v>
      </c>
      <c r="C233" s="2" t="s">
        <v>21</v>
      </c>
      <c r="D233" s="2" t="s">
        <v>76</v>
      </c>
      <c r="E233" s="2">
        <v>31</v>
      </c>
      <c r="F233" s="3">
        <v>1324</v>
      </c>
      <c r="G233" s="3">
        <v>1257</v>
      </c>
      <c r="H233" s="3">
        <v>1091</v>
      </c>
      <c r="I233" s="3">
        <v>2177</v>
      </c>
      <c r="J233" s="3">
        <v>1150</v>
      </c>
      <c r="K233" s="3">
        <v>1259</v>
      </c>
      <c r="L233" s="3">
        <v>2194.4483253965</v>
      </c>
      <c r="M233" s="3">
        <v>1540.4886495237999</v>
      </c>
      <c r="N233" s="3">
        <v>2088.4901288889</v>
      </c>
      <c r="O233" s="3">
        <v>710.48830476190005</v>
      </c>
      <c r="P233" s="3">
        <v>258.51250238095002</v>
      </c>
      <c r="Q233" s="3">
        <v>6.5439365079370004</v>
      </c>
      <c r="R233" s="3">
        <v>15056.971847459999</v>
      </c>
      <c r="S233" s="4">
        <v>0.97621171358900005</v>
      </c>
      <c r="T233" s="3">
        <v>1212.857142856999</v>
      </c>
      <c r="U233" s="2" t="s">
        <v>89</v>
      </c>
    </row>
    <row r="234" spans="1:21" ht="13.2">
      <c r="A234" s="2" t="s">
        <v>103</v>
      </c>
      <c r="B234" s="2" t="s">
        <v>104</v>
      </c>
      <c r="C234" s="2" t="s">
        <v>21</v>
      </c>
      <c r="D234" s="2" t="s">
        <v>77</v>
      </c>
      <c r="E234" s="2">
        <v>32</v>
      </c>
      <c r="F234" s="3">
        <v>1324</v>
      </c>
      <c r="G234" s="3">
        <v>1257</v>
      </c>
      <c r="H234" s="3">
        <v>1091</v>
      </c>
      <c r="I234" s="3">
        <v>2177</v>
      </c>
      <c r="J234" s="3">
        <v>1150</v>
      </c>
      <c r="K234" s="3">
        <v>1259</v>
      </c>
      <c r="L234" s="3">
        <v>2194.4483253965</v>
      </c>
      <c r="M234" s="3">
        <v>1561.1656796831001</v>
      </c>
      <c r="N234" s="3">
        <v>1375.7714384127</v>
      </c>
      <c r="O234" s="3">
        <v>725.08783174603002</v>
      </c>
      <c r="P234" s="3">
        <v>347.32371666667001</v>
      </c>
      <c r="Q234" s="3">
        <v>82.486515873016003</v>
      </c>
      <c r="R234" s="3">
        <v>14544.283507778</v>
      </c>
      <c r="S234" s="4">
        <v>0.94297180534699998</v>
      </c>
      <c r="T234" s="3">
        <v>-512.68833968199897</v>
      </c>
      <c r="U234" s="2" t="s">
        <v>89</v>
      </c>
    </row>
    <row r="235" spans="1:21" ht="13.2">
      <c r="A235" s="2" t="s">
        <v>103</v>
      </c>
      <c r="B235" s="2" t="s">
        <v>104</v>
      </c>
      <c r="C235" s="2" t="s">
        <v>21</v>
      </c>
      <c r="D235" s="2" t="s">
        <v>78</v>
      </c>
      <c r="E235" s="2">
        <v>33</v>
      </c>
      <c r="F235" s="3">
        <v>1324</v>
      </c>
      <c r="G235" s="3">
        <v>1257</v>
      </c>
      <c r="H235" s="3">
        <v>1091</v>
      </c>
      <c r="I235" s="3">
        <v>2177</v>
      </c>
      <c r="J235" s="3">
        <v>1150</v>
      </c>
      <c r="K235" s="3">
        <v>1259</v>
      </c>
      <c r="L235" s="3">
        <v>2194.4483253965</v>
      </c>
      <c r="M235" s="3">
        <v>1635.3555146030999</v>
      </c>
      <c r="N235" s="3">
        <v>1418.1816431745999</v>
      </c>
      <c r="O235" s="3">
        <v>842.29663968253999</v>
      </c>
      <c r="P235" s="3">
        <v>377.06353571429003</v>
      </c>
      <c r="Q235" s="3">
        <v>82.486515873016003</v>
      </c>
      <c r="R235" s="3">
        <v>14807.832174444</v>
      </c>
      <c r="S235" s="4">
        <v>0.96005885964299997</v>
      </c>
      <c r="T235" s="3">
        <v>263.54866666599997</v>
      </c>
      <c r="U235" s="2" t="s">
        <v>89</v>
      </c>
    </row>
    <row r="236" spans="1:21" ht="13.2">
      <c r="A236" s="2" t="s">
        <v>103</v>
      </c>
      <c r="B236" s="2" t="s">
        <v>104</v>
      </c>
      <c r="C236" s="2" t="s">
        <v>21</v>
      </c>
      <c r="D236" s="2" t="s">
        <v>79</v>
      </c>
      <c r="E236" s="2">
        <v>34</v>
      </c>
      <c r="F236" s="3">
        <v>1324</v>
      </c>
      <c r="G236" s="3">
        <v>1257</v>
      </c>
      <c r="H236" s="3">
        <v>1091</v>
      </c>
      <c r="I236" s="3">
        <v>2177</v>
      </c>
      <c r="J236" s="3">
        <v>1150</v>
      </c>
      <c r="K236" s="3">
        <v>1259</v>
      </c>
      <c r="L236" s="3">
        <v>2194.4483253965</v>
      </c>
      <c r="M236" s="3">
        <v>1432.5441987309</v>
      </c>
      <c r="N236" s="3">
        <v>1507.6357209524001</v>
      </c>
      <c r="O236" s="3">
        <v>947.07383650793997</v>
      </c>
      <c r="P236" s="3">
        <v>377.06353571429003</v>
      </c>
      <c r="Q236" s="3">
        <v>82.486515873016003</v>
      </c>
      <c r="R236" s="3">
        <v>14799.252133174999</v>
      </c>
      <c r="S236" s="4">
        <v>0.95950257668899996</v>
      </c>
      <c r="T236" s="3">
        <v>-8.5800412690010006</v>
      </c>
      <c r="U236" s="2" t="s">
        <v>89</v>
      </c>
    </row>
    <row r="237" spans="1:21" ht="13.2">
      <c r="A237" s="2" t="s">
        <v>103</v>
      </c>
      <c r="B237" s="2" t="s">
        <v>104</v>
      </c>
      <c r="C237" s="2" t="s">
        <v>21</v>
      </c>
      <c r="D237" s="2" t="s">
        <v>80</v>
      </c>
      <c r="E237" s="2">
        <v>35</v>
      </c>
      <c r="F237" s="3">
        <v>1324</v>
      </c>
      <c r="G237" s="3">
        <v>1257</v>
      </c>
      <c r="H237" s="3">
        <v>1091</v>
      </c>
      <c r="I237" s="3">
        <v>2177</v>
      </c>
      <c r="J237" s="3">
        <v>1150</v>
      </c>
      <c r="K237" s="3">
        <v>1259</v>
      </c>
      <c r="L237" s="3">
        <v>2194.4483253965</v>
      </c>
      <c r="M237" s="3">
        <v>1492.6835849206</v>
      </c>
      <c r="N237" s="3">
        <v>1487.9920463492001</v>
      </c>
      <c r="O237" s="3">
        <v>1164.9984547618999</v>
      </c>
      <c r="P237" s="3">
        <v>306.95795873015999</v>
      </c>
      <c r="Q237" s="3">
        <v>149.89878253968001</v>
      </c>
      <c r="R237" s="3">
        <v>15054.979152698001</v>
      </c>
      <c r="S237" s="4">
        <v>0.97608251815799996</v>
      </c>
      <c r="T237" s="3">
        <v>255.72701952300099</v>
      </c>
      <c r="U237" s="2" t="s">
        <v>89</v>
      </c>
    </row>
    <row r="238" spans="1:21" ht="13.2">
      <c r="A238" s="2" t="s">
        <v>103</v>
      </c>
      <c r="B238" s="2" t="s">
        <v>104</v>
      </c>
      <c r="C238" s="2" t="s">
        <v>21</v>
      </c>
      <c r="D238" s="2" t="s">
        <v>81</v>
      </c>
      <c r="E238" s="2">
        <v>35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139</v>
      </c>
      <c r="P238" s="3">
        <v>37</v>
      </c>
      <c r="Q238" s="3">
        <v>0</v>
      </c>
      <c r="R238" s="3">
        <v>176</v>
      </c>
      <c r="S238" s="4"/>
      <c r="T238" s="3"/>
      <c r="U238" s="2" t="s">
        <v>90</v>
      </c>
    </row>
    <row r="239" spans="1:21" ht="13.2">
      <c r="A239" s="2" t="s">
        <v>103</v>
      </c>
      <c r="B239" s="2" t="s">
        <v>104</v>
      </c>
      <c r="C239" s="2" t="s">
        <v>21</v>
      </c>
      <c r="D239" s="2" t="s">
        <v>82</v>
      </c>
      <c r="E239" s="2">
        <v>35</v>
      </c>
      <c r="F239" s="3">
        <v>1324</v>
      </c>
      <c r="G239" s="3">
        <v>1257</v>
      </c>
      <c r="H239" s="3">
        <v>1091</v>
      </c>
      <c r="I239" s="3">
        <v>2177</v>
      </c>
      <c r="J239" s="3">
        <v>1150</v>
      </c>
      <c r="K239" s="3">
        <v>1259</v>
      </c>
      <c r="L239" s="3">
        <v>2194.4483253965</v>
      </c>
      <c r="M239" s="3">
        <v>1492.6835849206</v>
      </c>
      <c r="N239" s="3">
        <v>1487.9920463492001</v>
      </c>
      <c r="O239" s="3">
        <v>1303.9984547618999</v>
      </c>
      <c r="P239" s="3">
        <v>343.95795873015999</v>
      </c>
      <c r="Q239" s="3">
        <v>149.89878253968001</v>
      </c>
      <c r="R239" s="3">
        <v>15230.979152698041</v>
      </c>
      <c r="S239" s="4">
        <v>0.98749339567899996</v>
      </c>
      <c r="T239" s="3"/>
      <c r="U239" s="2" t="s">
        <v>91</v>
      </c>
    </row>
    <row r="240" spans="1:21" ht="13.2">
      <c r="A240" s="2" t="s">
        <v>105</v>
      </c>
      <c r="B240" s="2" t="s">
        <v>106</v>
      </c>
      <c r="C240" s="2" t="s">
        <v>21</v>
      </c>
      <c r="D240" s="2" t="s">
        <v>12</v>
      </c>
      <c r="E240" s="2">
        <v>0</v>
      </c>
      <c r="F240" s="3">
        <v>200</v>
      </c>
      <c r="G240" s="3">
        <v>200</v>
      </c>
      <c r="H240" s="3">
        <v>200</v>
      </c>
      <c r="I240" s="3">
        <v>200</v>
      </c>
      <c r="J240" s="3">
        <v>200</v>
      </c>
      <c r="K240" s="3">
        <v>200</v>
      </c>
      <c r="L240" s="3">
        <v>200</v>
      </c>
      <c r="M240" s="3">
        <v>200</v>
      </c>
      <c r="N240" s="3">
        <v>200</v>
      </c>
      <c r="O240" s="3">
        <v>200</v>
      </c>
      <c r="P240" s="3">
        <v>200</v>
      </c>
      <c r="Q240" s="3">
        <v>200</v>
      </c>
      <c r="R240" s="3">
        <v>2400</v>
      </c>
      <c r="S240" s="4"/>
      <c r="T240" s="3"/>
      <c r="U240" s="2" t="s">
        <v>87</v>
      </c>
    </row>
    <row r="241" spans="1:21" ht="13.2">
      <c r="A241" s="2" t="s">
        <v>105</v>
      </c>
      <c r="B241" s="2" t="s">
        <v>106</v>
      </c>
      <c r="C241" s="2" t="s">
        <v>21</v>
      </c>
      <c r="D241" s="2" t="s">
        <v>50</v>
      </c>
      <c r="E241" s="2">
        <v>5</v>
      </c>
      <c r="F241" s="3">
        <v>87.572355932202996</v>
      </c>
      <c r="G241" s="3">
        <v>177.249152542373</v>
      </c>
      <c r="H241" s="3">
        <v>58.521533898305002</v>
      </c>
      <c r="I241" s="3">
        <v>56.645974576271001</v>
      </c>
      <c r="J241" s="3">
        <v>59.279661016948999</v>
      </c>
      <c r="K241" s="3">
        <v>0</v>
      </c>
      <c r="L241" s="3">
        <v>74.576271186441005</v>
      </c>
      <c r="M241" s="3">
        <v>5.6355932203389996</v>
      </c>
      <c r="N241" s="3">
        <v>0</v>
      </c>
      <c r="O241" s="3">
        <v>24.511864406779999</v>
      </c>
      <c r="P241" s="3">
        <v>0</v>
      </c>
      <c r="Q241" s="3">
        <v>0</v>
      </c>
      <c r="R241" s="3">
        <v>543.992406779661</v>
      </c>
      <c r="S241" s="4">
        <v>0.226663502825</v>
      </c>
      <c r="T241" s="3"/>
      <c r="U241" s="2" t="s">
        <v>88</v>
      </c>
    </row>
    <row r="242" spans="1:21" ht="13.2">
      <c r="A242" s="2" t="s">
        <v>105</v>
      </c>
      <c r="B242" s="2" t="s">
        <v>106</v>
      </c>
      <c r="C242" s="2" t="s">
        <v>21</v>
      </c>
      <c r="D242" s="2" t="s">
        <v>51</v>
      </c>
      <c r="E242" s="2">
        <v>6</v>
      </c>
      <c r="F242" s="3">
        <v>87.572355932202996</v>
      </c>
      <c r="G242" s="3">
        <v>126.392372881356</v>
      </c>
      <c r="H242" s="3">
        <v>135.894415254237</v>
      </c>
      <c r="I242" s="3">
        <v>73.476483050846994</v>
      </c>
      <c r="J242" s="3">
        <v>70.720338983050993</v>
      </c>
      <c r="K242" s="3">
        <v>0</v>
      </c>
      <c r="L242" s="3">
        <v>74.576271186441005</v>
      </c>
      <c r="M242" s="3">
        <v>2.1186440677970002</v>
      </c>
      <c r="N242" s="3">
        <v>0</v>
      </c>
      <c r="O242" s="3">
        <v>48.240677966101998</v>
      </c>
      <c r="P242" s="3">
        <v>23.728813559321999</v>
      </c>
      <c r="Q242" s="3">
        <v>0</v>
      </c>
      <c r="R242" s="3">
        <v>642.72037288135596</v>
      </c>
      <c r="S242" s="4">
        <v>0.26780015536700003</v>
      </c>
      <c r="T242" s="3">
        <v>98.727966101695003</v>
      </c>
      <c r="U242" s="2" t="s">
        <v>88</v>
      </c>
    </row>
    <row r="243" spans="1:21" ht="13.2">
      <c r="A243" s="2" t="s">
        <v>105</v>
      </c>
      <c r="B243" s="2" t="s">
        <v>106</v>
      </c>
      <c r="C243" s="2" t="s">
        <v>21</v>
      </c>
      <c r="D243" s="2" t="s">
        <v>52</v>
      </c>
      <c r="E243" s="2">
        <v>7</v>
      </c>
      <c r="F243" s="3">
        <v>87.572355932202996</v>
      </c>
      <c r="G243" s="3">
        <v>144.175423728814</v>
      </c>
      <c r="H243" s="3">
        <v>128.25882203389801</v>
      </c>
      <c r="I243" s="3">
        <v>98.226483050846994</v>
      </c>
      <c r="J243" s="3">
        <v>70.720338983050993</v>
      </c>
      <c r="K243" s="3">
        <v>3.5169491525419998</v>
      </c>
      <c r="L243" s="3">
        <v>74.576271186441005</v>
      </c>
      <c r="M243" s="3">
        <v>2.1186440677970002</v>
      </c>
      <c r="N243" s="3">
        <v>0</v>
      </c>
      <c r="O243" s="3">
        <v>48.240677966101998</v>
      </c>
      <c r="P243" s="3">
        <v>23.728813559321999</v>
      </c>
      <c r="Q243" s="3">
        <v>0</v>
      </c>
      <c r="R243" s="3">
        <v>681.13477966101698</v>
      </c>
      <c r="S243" s="4">
        <v>0.283806158192</v>
      </c>
      <c r="T243" s="3">
        <v>38.414406779661</v>
      </c>
      <c r="U243" s="2" t="s">
        <v>88</v>
      </c>
    </row>
    <row r="244" spans="1:21" ht="13.2">
      <c r="A244" s="2" t="s">
        <v>105</v>
      </c>
      <c r="B244" s="2" t="s">
        <v>106</v>
      </c>
      <c r="C244" s="2" t="s">
        <v>21</v>
      </c>
      <c r="D244" s="2" t="s">
        <v>53</v>
      </c>
      <c r="E244" s="2">
        <v>8</v>
      </c>
      <c r="F244" s="3">
        <v>88</v>
      </c>
      <c r="G244" s="3">
        <v>126.582525423729</v>
      </c>
      <c r="H244" s="3">
        <v>144.92831355932199</v>
      </c>
      <c r="I244" s="3">
        <v>104.086652542373</v>
      </c>
      <c r="J244" s="3">
        <v>85.805084745762997</v>
      </c>
      <c r="K244" s="3">
        <v>52.245762711864003</v>
      </c>
      <c r="L244" s="3">
        <v>74.576271186441005</v>
      </c>
      <c r="M244" s="3">
        <v>2.1186440677970002</v>
      </c>
      <c r="N244" s="3">
        <v>0</v>
      </c>
      <c r="O244" s="3">
        <v>48.240677966101998</v>
      </c>
      <c r="P244" s="3">
        <v>23.728813559321999</v>
      </c>
      <c r="Q244" s="3">
        <v>0</v>
      </c>
      <c r="R244" s="3">
        <v>750.31274576271198</v>
      </c>
      <c r="S244" s="4">
        <v>0.31263031073399999</v>
      </c>
      <c r="T244" s="3">
        <v>69.177966101695006</v>
      </c>
      <c r="U244" s="2" t="s">
        <v>88</v>
      </c>
    </row>
    <row r="245" spans="1:21" ht="13.2">
      <c r="A245" s="2" t="s">
        <v>105</v>
      </c>
      <c r="B245" s="2" t="s">
        <v>106</v>
      </c>
      <c r="C245" s="2" t="s">
        <v>21</v>
      </c>
      <c r="D245" s="2" t="s">
        <v>54</v>
      </c>
      <c r="E245" s="2">
        <v>9</v>
      </c>
      <c r="F245" s="3">
        <v>88</v>
      </c>
      <c r="G245" s="3">
        <v>94.447779661016995</v>
      </c>
      <c r="H245" s="3">
        <v>185.16475423728801</v>
      </c>
      <c r="I245" s="3">
        <v>104.086652542373</v>
      </c>
      <c r="J245" s="3">
        <v>85.805084745762997</v>
      </c>
      <c r="K245" s="3">
        <v>54.788135593219998</v>
      </c>
      <c r="L245" s="3">
        <v>74.576271186441005</v>
      </c>
      <c r="M245" s="3">
        <v>0</v>
      </c>
      <c r="N245" s="3">
        <v>0</v>
      </c>
      <c r="O245" s="3">
        <v>48.240677966101998</v>
      </c>
      <c r="P245" s="3">
        <v>23.728813559321999</v>
      </c>
      <c r="Q245" s="3">
        <v>0</v>
      </c>
      <c r="R245" s="3">
        <v>758.83816949152504</v>
      </c>
      <c r="S245" s="4">
        <v>0.31618257062100003</v>
      </c>
      <c r="T245" s="3">
        <v>8.5254237288129993</v>
      </c>
      <c r="U245" s="2" t="s">
        <v>88</v>
      </c>
    </row>
    <row r="246" spans="1:21" ht="13.2">
      <c r="A246" s="2" t="s">
        <v>105</v>
      </c>
      <c r="B246" s="2" t="s">
        <v>106</v>
      </c>
      <c r="C246" s="2" t="s">
        <v>21</v>
      </c>
      <c r="D246" s="2" t="s">
        <v>55</v>
      </c>
      <c r="E246" s="2">
        <v>10</v>
      </c>
      <c r="F246" s="3">
        <v>87.572355932202996</v>
      </c>
      <c r="G246" s="3">
        <v>94.447779661016995</v>
      </c>
      <c r="H246" s="3">
        <v>207.19743220339001</v>
      </c>
      <c r="I246" s="3">
        <v>83.150211864406998</v>
      </c>
      <c r="J246" s="3">
        <v>85.805084745762997</v>
      </c>
      <c r="K246" s="3">
        <v>176.853805084746</v>
      </c>
      <c r="L246" s="3">
        <v>74.576271186441005</v>
      </c>
      <c r="M246" s="3">
        <v>0</v>
      </c>
      <c r="N246" s="3">
        <v>0</v>
      </c>
      <c r="O246" s="3">
        <v>48.240677966101998</v>
      </c>
      <c r="P246" s="3">
        <v>23.728813559321999</v>
      </c>
      <c r="Q246" s="3">
        <v>0</v>
      </c>
      <c r="R246" s="3">
        <v>881.57243220339001</v>
      </c>
      <c r="S246" s="4">
        <v>0.36732184675099999</v>
      </c>
      <c r="T246" s="3">
        <v>122.734262711865</v>
      </c>
      <c r="U246" s="2" t="s">
        <v>88</v>
      </c>
    </row>
    <row r="247" spans="1:21" ht="13.2">
      <c r="A247" s="2" t="s">
        <v>105</v>
      </c>
      <c r="B247" s="2" t="s">
        <v>106</v>
      </c>
      <c r="C247" s="2" t="s">
        <v>21</v>
      </c>
      <c r="D247" s="2" t="s">
        <v>56</v>
      </c>
      <c r="E247" s="2">
        <v>11</v>
      </c>
      <c r="F247" s="3">
        <v>87.572355932202996</v>
      </c>
      <c r="G247" s="3">
        <v>94.447779661016995</v>
      </c>
      <c r="H247" s="3">
        <v>170.10421186440701</v>
      </c>
      <c r="I247" s="3">
        <v>105.98072033898301</v>
      </c>
      <c r="J247" s="3">
        <v>101.33050847457601</v>
      </c>
      <c r="K247" s="3">
        <v>199.81990677966101</v>
      </c>
      <c r="L247" s="3">
        <v>74.576271186441005</v>
      </c>
      <c r="M247" s="3">
        <v>0</v>
      </c>
      <c r="N247" s="3">
        <v>0</v>
      </c>
      <c r="O247" s="3">
        <v>48.240677966101998</v>
      </c>
      <c r="P247" s="3">
        <v>23.728813559321999</v>
      </c>
      <c r="Q247" s="3">
        <v>0</v>
      </c>
      <c r="R247" s="3">
        <v>905.80124576271203</v>
      </c>
      <c r="S247" s="4">
        <v>0.37741718573400002</v>
      </c>
      <c r="T247" s="3">
        <v>24.228813559321999</v>
      </c>
      <c r="U247" s="2" t="s">
        <v>88</v>
      </c>
    </row>
    <row r="248" spans="1:21" ht="13.2">
      <c r="A248" s="2" t="s">
        <v>105</v>
      </c>
      <c r="B248" s="2" t="s">
        <v>106</v>
      </c>
      <c r="C248" s="2" t="s">
        <v>21</v>
      </c>
      <c r="D248" s="2" t="s">
        <v>57</v>
      </c>
      <c r="E248" s="2">
        <v>12</v>
      </c>
      <c r="F248" s="3">
        <v>88</v>
      </c>
      <c r="G248" s="3">
        <v>94</v>
      </c>
      <c r="H248" s="3">
        <v>157.323855932203</v>
      </c>
      <c r="I248" s="3">
        <v>134.557703389831</v>
      </c>
      <c r="J248" s="3">
        <v>97.601694915254001</v>
      </c>
      <c r="K248" s="3">
        <v>199.81990677966101</v>
      </c>
      <c r="L248" s="3">
        <v>74.576271186441005</v>
      </c>
      <c r="M248" s="3">
        <v>0</v>
      </c>
      <c r="N248" s="3">
        <v>0</v>
      </c>
      <c r="O248" s="3">
        <v>48.240677966101998</v>
      </c>
      <c r="P248" s="3">
        <v>23.728813559321999</v>
      </c>
      <c r="Q248" s="3">
        <v>0</v>
      </c>
      <c r="R248" s="3">
        <v>917.84892372881404</v>
      </c>
      <c r="S248" s="4">
        <v>0.38243705155399998</v>
      </c>
      <c r="T248" s="3">
        <v>12.047677966102</v>
      </c>
      <c r="U248" s="2" t="s">
        <v>88</v>
      </c>
    </row>
    <row r="249" spans="1:21" ht="13.2">
      <c r="A249" s="2" t="s">
        <v>105</v>
      </c>
      <c r="B249" s="2" t="s">
        <v>106</v>
      </c>
      <c r="C249" s="2" t="s">
        <v>21</v>
      </c>
      <c r="D249" s="2" t="s">
        <v>58</v>
      </c>
      <c r="E249" s="2">
        <v>13</v>
      </c>
      <c r="F249" s="3">
        <v>88</v>
      </c>
      <c r="G249" s="3">
        <v>94</v>
      </c>
      <c r="H249" s="3">
        <v>157.323855932203</v>
      </c>
      <c r="I249" s="3">
        <v>134.557703389831</v>
      </c>
      <c r="J249" s="3">
        <v>97.601694915254001</v>
      </c>
      <c r="K249" s="3">
        <v>199.81990677966101</v>
      </c>
      <c r="L249" s="3">
        <v>74.576271186441005</v>
      </c>
      <c r="M249" s="3">
        <v>0</v>
      </c>
      <c r="N249" s="3">
        <v>0</v>
      </c>
      <c r="O249" s="3">
        <v>48.240677966101998</v>
      </c>
      <c r="P249" s="3">
        <v>23.728813559321999</v>
      </c>
      <c r="Q249" s="3">
        <v>0</v>
      </c>
      <c r="R249" s="3">
        <v>917.84892372881404</v>
      </c>
      <c r="S249" s="4">
        <v>0.38243705155399998</v>
      </c>
      <c r="T249" s="3">
        <v>0</v>
      </c>
      <c r="U249" s="2" t="s">
        <v>88</v>
      </c>
    </row>
    <row r="250" spans="1:21" ht="13.2">
      <c r="A250" s="2" t="s">
        <v>105</v>
      </c>
      <c r="B250" s="2" t="s">
        <v>106</v>
      </c>
      <c r="C250" s="2" t="s">
        <v>21</v>
      </c>
      <c r="D250" s="2" t="s">
        <v>59</v>
      </c>
      <c r="E250" s="2">
        <v>14</v>
      </c>
      <c r="F250" s="3">
        <v>87.572355932202996</v>
      </c>
      <c r="G250" s="3">
        <v>94.447779661016995</v>
      </c>
      <c r="H250" s="3">
        <v>128.895008474576</v>
      </c>
      <c r="I250" s="3">
        <v>150.375847457627</v>
      </c>
      <c r="J250" s="3">
        <v>136.60982203389801</v>
      </c>
      <c r="K250" s="3">
        <v>223.03177118644101</v>
      </c>
      <c r="L250" s="3">
        <v>74.576271186441005</v>
      </c>
      <c r="M250" s="3">
        <v>39.957627118643998</v>
      </c>
      <c r="N250" s="3">
        <v>0</v>
      </c>
      <c r="O250" s="3">
        <v>48.240677966101998</v>
      </c>
      <c r="P250" s="3">
        <v>23.728813559321999</v>
      </c>
      <c r="Q250" s="3">
        <v>0</v>
      </c>
      <c r="R250" s="3">
        <v>1007.435974576271</v>
      </c>
      <c r="S250" s="4">
        <v>0.41976498940700002</v>
      </c>
      <c r="T250" s="3">
        <v>89.587050847456993</v>
      </c>
      <c r="U250" s="2" t="s">
        <v>88</v>
      </c>
    </row>
    <row r="251" spans="1:21" ht="13.2">
      <c r="A251" s="2" t="s">
        <v>105</v>
      </c>
      <c r="B251" s="2" t="s">
        <v>106</v>
      </c>
      <c r="C251" s="2" t="s">
        <v>21</v>
      </c>
      <c r="D251" s="2" t="s">
        <v>60</v>
      </c>
      <c r="E251" s="2">
        <v>15</v>
      </c>
      <c r="F251" s="3">
        <v>87.572355932202996</v>
      </c>
      <c r="G251" s="3">
        <v>94.447779661016995</v>
      </c>
      <c r="H251" s="3">
        <v>128.895008474576</v>
      </c>
      <c r="I251" s="3">
        <v>130.58686440677999</v>
      </c>
      <c r="J251" s="3">
        <v>171.568296610169</v>
      </c>
      <c r="K251" s="3">
        <v>223.03177118644101</v>
      </c>
      <c r="L251" s="3">
        <v>84.809322033897999</v>
      </c>
      <c r="M251" s="3">
        <v>39.957627118643998</v>
      </c>
      <c r="N251" s="3">
        <v>0</v>
      </c>
      <c r="O251" s="3">
        <v>48.240677966101998</v>
      </c>
      <c r="P251" s="3">
        <v>23.728813559321999</v>
      </c>
      <c r="Q251" s="3">
        <v>0</v>
      </c>
      <c r="R251" s="3">
        <v>1032.838516949153</v>
      </c>
      <c r="S251" s="4">
        <v>0.43034938206200002</v>
      </c>
      <c r="T251" s="3">
        <v>25.402542372881999</v>
      </c>
      <c r="U251" s="2" t="s">
        <v>88</v>
      </c>
    </row>
    <row r="252" spans="1:21" ht="13.2">
      <c r="A252" s="2" t="s">
        <v>105</v>
      </c>
      <c r="B252" s="2" t="s">
        <v>106</v>
      </c>
      <c r="C252" s="2" t="s">
        <v>21</v>
      </c>
      <c r="D252" s="2" t="s">
        <v>61</v>
      </c>
      <c r="E252" s="2">
        <v>16</v>
      </c>
      <c r="F252" s="3">
        <v>87.572355932202996</v>
      </c>
      <c r="G252" s="3">
        <v>94.447779661016995</v>
      </c>
      <c r="H252" s="3">
        <v>128.895008474576</v>
      </c>
      <c r="I252" s="3">
        <v>119.781991525424</v>
      </c>
      <c r="J252" s="3">
        <v>247.18127966101699</v>
      </c>
      <c r="K252" s="3">
        <v>227.269059322034</v>
      </c>
      <c r="L252" s="3">
        <v>84.809322033897999</v>
      </c>
      <c r="M252" s="3">
        <v>115.72881355932201</v>
      </c>
      <c r="N252" s="3">
        <v>62.952762711863997</v>
      </c>
      <c r="O252" s="3">
        <v>48.240677966101998</v>
      </c>
      <c r="P252" s="3">
        <v>23.728813559321999</v>
      </c>
      <c r="Q252" s="3">
        <v>0</v>
      </c>
      <c r="R252" s="3">
        <v>1240.60786440678</v>
      </c>
      <c r="S252" s="4">
        <v>0.51691994350299997</v>
      </c>
      <c r="T252" s="3">
        <v>207.76934745762699</v>
      </c>
      <c r="U252" s="2" t="s">
        <v>88</v>
      </c>
    </row>
    <row r="253" spans="1:21" ht="13.2">
      <c r="A253" s="2" t="s">
        <v>105</v>
      </c>
      <c r="B253" s="2" t="s">
        <v>106</v>
      </c>
      <c r="C253" s="2" t="s">
        <v>21</v>
      </c>
      <c r="D253" s="2" t="s">
        <v>62</v>
      </c>
      <c r="E253" s="2">
        <v>17</v>
      </c>
      <c r="F253" s="3">
        <v>87.572355932202996</v>
      </c>
      <c r="G253" s="3">
        <v>94.447779661016995</v>
      </c>
      <c r="H253" s="3">
        <v>128.895008474576</v>
      </c>
      <c r="I253" s="3">
        <v>121.90063559322</v>
      </c>
      <c r="J253" s="3">
        <v>271.00483050847498</v>
      </c>
      <c r="K253" s="3">
        <v>139.01845762711901</v>
      </c>
      <c r="L253" s="3">
        <v>90.125194915253999</v>
      </c>
      <c r="M253" s="3">
        <v>126.538389830508</v>
      </c>
      <c r="N253" s="3">
        <v>79.175228813559002</v>
      </c>
      <c r="O253" s="3">
        <v>59.099228813559002</v>
      </c>
      <c r="P253" s="3">
        <v>23.728813559321999</v>
      </c>
      <c r="Q253" s="3">
        <v>0</v>
      </c>
      <c r="R253" s="3">
        <v>1221.505923728814</v>
      </c>
      <c r="S253" s="4">
        <v>0.50896080155400003</v>
      </c>
      <c r="T253" s="3">
        <v>-19.101940677965999</v>
      </c>
      <c r="U253" s="2" t="s">
        <v>88</v>
      </c>
    </row>
    <row r="254" spans="1:21" ht="13.2">
      <c r="A254" s="2" t="s">
        <v>105</v>
      </c>
      <c r="B254" s="2" t="s">
        <v>106</v>
      </c>
      <c r="C254" s="2" t="s">
        <v>21</v>
      </c>
      <c r="D254" s="2" t="s">
        <v>63</v>
      </c>
      <c r="E254" s="2">
        <v>18</v>
      </c>
      <c r="F254" s="3">
        <v>87.572355932202996</v>
      </c>
      <c r="G254" s="3">
        <v>94.447779661016995</v>
      </c>
      <c r="H254" s="3">
        <v>128.895008474576</v>
      </c>
      <c r="I254" s="3">
        <v>110.92605932203401</v>
      </c>
      <c r="J254" s="3">
        <v>233.05688983050899</v>
      </c>
      <c r="K254" s="3">
        <v>133.70118644067799</v>
      </c>
      <c r="L254" s="3">
        <v>139.51562711864401</v>
      </c>
      <c r="M254" s="3">
        <v>131.890788135593</v>
      </c>
      <c r="N254" s="3">
        <v>79.256635593219997</v>
      </c>
      <c r="O254" s="3">
        <v>59.047635593220001</v>
      </c>
      <c r="P254" s="3">
        <v>29.128161016949001</v>
      </c>
      <c r="Q254" s="3">
        <v>17.796610169491998</v>
      </c>
      <c r="R254" s="3">
        <v>1245.2347372881361</v>
      </c>
      <c r="S254" s="4">
        <v>0.51884780720300006</v>
      </c>
      <c r="T254" s="3">
        <v>23.728813559321999</v>
      </c>
      <c r="U254" s="2" t="s">
        <v>88</v>
      </c>
    </row>
    <row r="255" spans="1:21" ht="13.2">
      <c r="A255" s="2" t="s">
        <v>105</v>
      </c>
      <c r="B255" s="2" t="s">
        <v>106</v>
      </c>
      <c r="C255" s="2" t="s">
        <v>21</v>
      </c>
      <c r="D255" s="2" t="s">
        <v>64</v>
      </c>
      <c r="E255" s="2">
        <v>19</v>
      </c>
      <c r="F255" s="3">
        <v>87.572355932202996</v>
      </c>
      <c r="G255" s="3">
        <v>94.447779661016995</v>
      </c>
      <c r="H255" s="3">
        <v>128.895008474576</v>
      </c>
      <c r="I255" s="3">
        <v>110.92605932203401</v>
      </c>
      <c r="J255" s="3">
        <v>232.70795762711899</v>
      </c>
      <c r="K255" s="3">
        <v>143.158813559322</v>
      </c>
      <c r="L255" s="3">
        <v>123.262711864407</v>
      </c>
      <c r="M255" s="3">
        <v>160.865516949153</v>
      </c>
      <c r="N255" s="3">
        <v>79.256635593219997</v>
      </c>
      <c r="O255" s="3">
        <v>59.047635593220001</v>
      </c>
      <c r="P255" s="3">
        <v>29.128161016949001</v>
      </c>
      <c r="Q255" s="3">
        <v>17.796610169491998</v>
      </c>
      <c r="R255" s="3">
        <v>1267.065245762712</v>
      </c>
      <c r="S255" s="4">
        <v>0.52794385240099995</v>
      </c>
      <c r="T255" s="3">
        <v>21.830508474576</v>
      </c>
      <c r="U255" s="2" t="s">
        <v>88</v>
      </c>
    </row>
    <row r="256" spans="1:21" ht="13.2">
      <c r="A256" s="2" t="s">
        <v>105</v>
      </c>
      <c r="B256" s="2" t="s">
        <v>106</v>
      </c>
      <c r="C256" s="2" t="s">
        <v>21</v>
      </c>
      <c r="D256" s="2" t="s">
        <v>65</v>
      </c>
      <c r="E256" s="2">
        <v>20</v>
      </c>
      <c r="F256" s="3">
        <v>87.572355932202996</v>
      </c>
      <c r="G256" s="3">
        <v>94.447779661016995</v>
      </c>
      <c r="H256" s="3">
        <v>128.895008474576</v>
      </c>
      <c r="I256" s="3">
        <v>110.92605932203401</v>
      </c>
      <c r="J256" s="3">
        <v>149.25044915254199</v>
      </c>
      <c r="K256" s="3">
        <v>185.43918644067799</v>
      </c>
      <c r="L256" s="3">
        <v>199.59662711864399</v>
      </c>
      <c r="M256" s="3">
        <v>160.865516949153</v>
      </c>
      <c r="N256" s="3">
        <v>79.256635593219997</v>
      </c>
      <c r="O256" s="3">
        <v>305.23407627118598</v>
      </c>
      <c r="P256" s="3">
        <v>29.128161016949001</v>
      </c>
      <c r="Q256" s="3">
        <v>17.796610169491998</v>
      </c>
      <c r="R256" s="3">
        <v>1548.408466101695</v>
      </c>
      <c r="S256" s="4">
        <v>0.64517019420900001</v>
      </c>
      <c r="T256" s="3">
        <v>281.34322033898297</v>
      </c>
      <c r="U256" s="2" t="s">
        <v>88</v>
      </c>
    </row>
    <row r="257" spans="1:21" ht="13.2">
      <c r="A257" s="2" t="s">
        <v>105</v>
      </c>
      <c r="B257" s="2" t="s">
        <v>106</v>
      </c>
      <c r="C257" s="2" t="s">
        <v>21</v>
      </c>
      <c r="D257" s="2" t="s">
        <v>66</v>
      </c>
      <c r="E257" s="2">
        <v>21</v>
      </c>
      <c r="F257" s="3">
        <v>87.572355932202996</v>
      </c>
      <c r="G257" s="3">
        <v>94.447779661016995</v>
      </c>
      <c r="H257" s="3">
        <v>128.895008474576</v>
      </c>
      <c r="I257" s="3">
        <v>110.92605932203401</v>
      </c>
      <c r="J257" s="3">
        <v>149.25044915254199</v>
      </c>
      <c r="K257" s="3">
        <v>185.43918644067799</v>
      </c>
      <c r="L257" s="3">
        <v>199.59662711864399</v>
      </c>
      <c r="M257" s="3">
        <v>160.865516949153</v>
      </c>
      <c r="N257" s="3">
        <v>79.256635593219997</v>
      </c>
      <c r="O257" s="3">
        <v>305.23407627118598</v>
      </c>
      <c r="P257" s="3">
        <v>29.128161016949001</v>
      </c>
      <c r="Q257" s="3">
        <v>17.796610169491998</v>
      </c>
      <c r="R257" s="3">
        <v>1548.408466101695</v>
      </c>
      <c r="S257" s="4">
        <v>0.64517019420900001</v>
      </c>
      <c r="T257" s="3">
        <v>0</v>
      </c>
      <c r="U257" s="2" t="s">
        <v>88</v>
      </c>
    </row>
    <row r="258" spans="1:21" ht="13.2">
      <c r="A258" s="2" t="s">
        <v>105</v>
      </c>
      <c r="B258" s="2" t="s">
        <v>106</v>
      </c>
      <c r="C258" s="2" t="s">
        <v>21</v>
      </c>
      <c r="D258" s="2" t="s">
        <v>67</v>
      </c>
      <c r="E258" s="2">
        <v>22</v>
      </c>
      <c r="F258" s="3">
        <v>87.572355932202996</v>
      </c>
      <c r="G258" s="3">
        <v>94.447779661016995</v>
      </c>
      <c r="H258" s="3">
        <v>128.895008474576</v>
      </c>
      <c r="I258" s="3">
        <v>110.92605932203401</v>
      </c>
      <c r="J258" s="3">
        <v>134.52163559322</v>
      </c>
      <c r="K258" s="3">
        <v>199.47732203389799</v>
      </c>
      <c r="L258" s="3">
        <v>230.45255932203401</v>
      </c>
      <c r="M258" s="3">
        <v>171.594330508475</v>
      </c>
      <c r="N258" s="3">
        <v>100.90070338983099</v>
      </c>
      <c r="O258" s="3">
        <v>305.23407627118598</v>
      </c>
      <c r="P258" s="3">
        <v>29.128161016949001</v>
      </c>
      <c r="Q258" s="3">
        <v>17.796610169491998</v>
      </c>
      <c r="R258" s="3">
        <v>1610.946601694915</v>
      </c>
      <c r="S258" s="4">
        <v>0.67122775070600005</v>
      </c>
      <c r="T258" s="3">
        <v>62.538135593219998</v>
      </c>
      <c r="U258" s="2" t="s">
        <v>88</v>
      </c>
    </row>
    <row r="259" spans="1:21" ht="13.2">
      <c r="A259" s="2" t="s">
        <v>105</v>
      </c>
      <c r="B259" s="2" t="s">
        <v>106</v>
      </c>
      <c r="C259" s="2" t="s">
        <v>21</v>
      </c>
      <c r="D259" s="2" t="s">
        <v>68</v>
      </c>
      <c r="E259" s="2">
        <v>23</v>
      </c>
      <c r="F259" s="3">
        <v>87.572355932202996</v>
      </c>
      <c r="G259" s="3">
        <v>94.447779661016995</v>
      </c>
      <c r="H259" s="3">
        <v>128.895008474576</v>
      </c>
      <c r="I259" s="3">
        <v>110.92605932203401</v>
      </c>
      <c r="J259" s="3">
        <v>134.52163559322</v>
      </c>
      <c r="K259" s="3">
        <v>199.47732203389799</v>
      </c>
      <c r="L259" s="3">
        <v>230.45255932203401</v>
      </c>
      <c r="M259" s="3">
        <v>171.594330508475</v>
      </c>
      <c r="N259" s="3">
        <v>100.90070338983099</v>
      </c>
      <c r="O259" s="3">
        <v>305.23407627118598</v>
      </c>
      <c r="P259" s="3">
        <v>29.128161016949001</v>
      </c>
      <c r="Q259" s="3">
        <v>17.796610169491998</v>
      </c>
      <c r="R259" s="3">
        <v>1610.946601694915</v>
      </c>
      <c r="S259" s="4">
        <v>0.67122775070600005</v>
      </c>
      <c r="T259" s="3">
        <v>0</v>
      </c>
      <c r="U259" s="2" t="s">
        <v>88</v>
      </c>
    </row>
    <row r="260" spans="1:21" ht="13.2">
      <c r="A260" s="2" t="s">
        <v>105</v>
      </c>
      <c r="B260" s="2" t="s">
        <v>106</v>
      </c>
      <c r="C260" s="2" t="s">
        <v>21</v>
      </c>
      <c r="D260" s="2" t="s">
        <v>69</v>
      </c>
      <c r="E260" s="2">
        <v>24</v>
      </c>
      <c r="F260" s="3">
        <v>87.572355932202996</v>
      </c>
      <c r="G260" s="3">
        <v>94.447779661016995</v>
      </c>
      <c r="H260" s="3">
        <v>128.895008474576</v>
      </c>
      <c r="I260" s="3">
        <v>110.92605932203401</v>
      </c>
      <c r="J260" s="3">
        <v>134.52163559322</v>
      </c>
      <c r="K260" s="3">
        <v>173.66701694915301</v>
      </c>
      <c r="L260" s="3">
        <v>263.360915254237</v>
      </c>
      <c r="M260" s="3">
        <v>175.030177966102</v>
      </c>
      <c r="N260" s="3">
        <v>100.90070338983099</v>
      </c>
      <c r="O260" s="3">
        <v>305.23407627118598</v>
      </c>
      <c r="P260" s="3">
        <v>29.128161016949001</v>
      </c>
      <c r="Q260" s="3">
        <v>17.796610169491998</v>
      </c>
      <c r="R260" s="3">
        <v>1621.4804999999999</v>
      </c>
      <c r="S260" s="4">
        <v>0.67561687500000001</v>
      </c>
      <c r="T260" s="3">
        <v>10.533898305085</v>
      </c>
      <c r="U260" s="2" t="s">
        <v>88</v>
      </c>
    </row>
    <row r="261" spans="1:21" ht="13.2">
      <c r="A261" s="2" t="s">
        <v>105</v>
      </c>
      <c r="B261" s="2" t="s">
        <v>106</v>
      </c>
      <c r="C261" s="2" t="s">
        <v>21</v>
      </c>
      <c r="D261" s="2" t="s">
        <v>70</v>
      </c>
      <c r="E261" s="2">
        <v>25</v>
      </c>
      <c r="F261" s="3">
        <v>87.572355932202996</v>
      </c>
      <c r="G261" s="3">
        <v>94.447779661016995</v>
      </c>
      <c r="H261" s="3">
        <v>128.895008474576</v>
      </c>
      <c r="I261" s="3">
        <v>110.92605932203401</v>
      </c>
      <c r="J261" s="3">
        <v>134.52163559322</v>
      </c>
      <c r="K261" s="3">
        <v>173.66701694915301</v>
      </c>
      <c r="L261" s="3">
        <v>263.360915254237</v>
      </c>
      <c r="M261" s="3">
        <v>175.030177966102</v>
      </c>
      <c r="N261" s="3">
        <v>100.90070338983099</v>
      </c>
      <c r="O261" s="3">
        <v>305.23407627118598</v>
      </c>
      <c r="P261" s="3">
        <v>29.128161016949001</v>
      </c>
      <c r="Q261" s="3">
        <v>17.796610169491998</v>
      </c>
      <c r="R261" s="3">
        <v>1621.4804999999999</v>
      </c>
      <c r="S261" s="4">
        <v>0.67561687500000001</v>
      </c>
      <c r="T261" s="3">
        <v>0</v>
      </c>
      <c r="U261" s="2" t="s">
        <v>88</v>
      </c>
    </row>
    <row r="262" spans="1:21" ht="13.2">
      <c r="A262" s="2" t="s">
        <v>105</v>
      </c>
      <c r="B262" s="2" t="s">
        <v>106</v>
      </c>
      <c r="C262" s="2" t="s">
        <v>21</v>
      </c>
      <c r="D262" s="2" t="s">
        <v>71</v>
      </c>
      <c r="E262" s="2">
        <v>26</v>
      </c>
      <c r="F262" s="3">
        <v>87.572355932202996</v>
      </c>
      <c r="G262" s="3">
        <v>94.447779661016995</v>
      </c>
      <c r="H262" s="3">
        <v>128.895008474576</v>
      </c>
      <c r="I262" s="3">
        <v>110.92605932203401</v>
      </c>
      <c r="J262" s="3">
        <v>134.52163559322</v>
      </c>
      <c r="K262" s="3">
        <v>161.11545762711901</v>
      </c>
      <c r="L262" s="3">
        <v>316.50498305084699</v>
      </c>
      <c r="M262" s="3">
        <v>195.980042372881</v>
      </c>
      <c r="N262" s="3">
        <v>100.90070338983099</v>
      </c>
      <c r="O262" s="3">
        <v>305.23407627118598</v>
      </c>
      <c r="P262" s="3">
        <v>29.128161016949001</v>
      </c>
      <c r="Q262" s="3">
        <v>17.796610169491998</v>
      </c>
      <c r="R262" s="3">
        <v>1683.0228728813561</v>
      </c>
      <c r="S262" s="4">
        <v>0.70125953036699995</v>
      </c>
      <c r="T262" s="3">
        <v>61.542372881356002</v>
      </c>
      <c r="U262" s="2" t="s">
        <v>88</v>
      </c>
    </row>
    <row r="263" spans="1:21" ht="13.2">
      <c r="A263" s="2" t="s">
        <v>105</v>
      </c>
      <c r="B263" s="2" t="s">
        <v>106</v>
      </c>
      <c r="C263" s="2" t="s">
        <v>21</v>
      </c>
      <c r="D263" s="2" t="s">
        <v>72</v>
      </c>
      <c r="E263" s="2">
        <v>27</v>
      </c>
      <c r="F263" s="3">
        <v>87.572355932202996</v>
      </c>
      <c r="G263" s="3">
        <v>94.447779661016995</v>
      </c>
      <c r="H263" s="3">
        <v>128.895008474576</v>
      </c>
      <c r="I263" s="3">
        <v>110.92605932203401</v>
      </c>
      <c r="J263" s="3">
        <v>134.52163559322</v>
      </c>
      <c r="K263" s="3">
        <v>161.11545762711901</v>
      </c>
      <c r="L263" s="3">
        <v>316.50498305084699</v>
      </c>
      <c r="M263" s="3">
        <v>195.980042372881</v>
      </c>
      <c r="N263" s="3">
        <v>100.90070338983099</v>
      </c>
      <c r="O263" s="3">
        <v>305.23407627118598</v>
      </c>
      <c r="P263" s="3">
        <v>29.128161016949001</v>
      </c>
      <c r="Q263" s="3">
        <v>17.796610169491998</v>
      </c>
      <c r="R263" s="3">
        <v>1683.0228728813561</v>
      </c>
      <c r="S263" s="4">
        <v>0.70125953036699995</v>
      </c>
      <c r="T263" s="3">
        <v>0</v>
      </c>
      <c r="U263" s="2" t="s">
        <v>88</v>
      </c>
    </row>
    <row r="264" spans="1:21" ht="13.2">
      <c r="A264" s="2" t="s">
        <v>105</v>
      </c>
      <c r="B264" s="2" t="s">
        <v>106</v>
      </c>
      <c r="C264" s="2" t="s">
        <v>21</v>
      </c>
      <c r="D264" s="2" t="s">
        <v>73</v>
      </c>
      <c r="E264" s="2">
        <v>28</v>
      </c>
      <c r="F264" s="3">
        <v>87.572355932202996</v>
      </c>
      <c r="G264" s="3">
        <v>94.447779661016995</v>
      </c>
      <c r="H264" s="3">
        <v>128.895008474576</v>
      </c>
      <c r="I264" s="3">
        <v>110.92605932203401</v>
      </c>
      <c r="J264" s="3">
        <v>134.52163559322</v>
      </c>
      <c r="K264" s="3">
        <v>161.11545762711901</v>
      </c>
      <c r="L264" s="3">
        <v>154.689711864407</v>
      </c>
      <c r="M264" s="3">
        <v>308.62751694915301</v>
      </c>
      <c r="N264" s="3">
        <v>175.476974576271</v>
      </c>
      <c r="O264" s="3">
        <v>315.48831355932202</v>
      </c>
      <c r="P264" s="3">
        <v>5.399347457627</v>
      </c>
      <c r="Q264" s="3">
        <v>17.796610169491998</v>
      </c>
      <c r="R264" s="3">
        <v>1694.9567711864411</v>
      </c>
      <c r="S264" s="4">
        <v>0.706231987994</v>
      </c>
      <c r="T264" s="3">
        <v>11.933898305085</v>
      </c>
      <c r="U264" s="2" t="s">
        <v>88</v>
      </c>
    </row>
    <row r="265" spans="1:21" ht="13.2">
      <c r="A265" s="2" t="s">
        <v>105</v>
      </c>
      <c r="B265" s="2" t="s">
        <v>106</v>
      </c>
      <c r="C265" s="2" t="s">
        <v>21</v>
      </c>
      <c r="D265" s="2" t="s">
        <v>74</v>
      </c>
      <c r="E265" s="2">
        <v>29</v>
      </c>
      <c r="F265" s="3">
        <v>87.572355932202996</v>
      </c>
      <c r="G265" s="3">
        <v>94.447779661016995</v>
      </c>
      <c r="H265" s="3">
        <v>128.895008474576</v>
      </c>
      <c r="I265" s="3">
        <v>110.92605932203401</v>
      </c>
      <c r="J265" s="3">
        <v>134.52163559322</v>
      </c>
      <c r="K265" s="3">
        <v>161.11545762711901</v>
      </c>
      <c r="L265" s="3">
        <v>130.96089830508501</v>
      </c>
      <c r="M265" s="3">
        <v>332.35633050847503</v>
      </c>
      <c r="N265" s="3">
        <v>289.91595762711898</v>
      </c>
      <c r="O265" s="3">
        <v>315.48831355932202</v>
      </c>
      <c r="P265" s="3">
        <v>5.399347457627</v>
      </c>
      <c r="Q265" s="3">
        <v>17.796610169491998</v>
      </c>
      <c r="R265" s="3">
        <v>1809.39575423729</v>
      </c>
      <c r="S265" s="4">
        <v>0.75391489759899999</v>
      </c>
      <c r="T265" s="3">
        <v>114.438983050849</v>
      </c>
      <c r="U265" s="2" t="s">
        <v>89</v>
      </c>
    </row>
    <row r="266" spans="1:21" ht="13.2">
      <c r="A266" s="2" t="s">
        <v>105</v>
      </c>
      <c r="B266" s="2" t="s">
        <v>106</v>
      </c>
      <c r="C266" s="2" t="s">
        <v>21</v>
      </c>
      <c r="D266" s="2" t="s">
        <v>75</v>
      </c>
      <c r="E266" s="2">
        <v>30</v>
      </c>
      <c r="F266" s="3">
        <v>87.572355932202996</v>
      </c>
      <c r="G266" s="3">
        <v>94.447779661016995</v>
      </c>
      <c r="H266" s="3">
        <v>128.89500847458001</v>
      </c>
      <c r="I266" s="3">
        <v>110.92605932203</v>
      </c>
      <c r="J266" s="3">
        <v>134.52163559322</v>
      </c>
      <c r="K266" s="3">
        <v>161.11545762712001</v>
      </c>
      <c r="L266" s="3">
        <v>121.59733898304999</v>
      </c>
      <c r="M266" s="3">
        <v>293.59107627118999</v>
      </c>
      <c r="N266" s="3">
        <v>389.39053389831003</v>
      </c>
      <c r="O266" s="3">
        <v>366.71966949151999</v>
      </c>
      <c r="P266" s="3">
        <v>5.399347457627</v>
      </c>
      <c r="Q266" s="3">
        <v>17.796610169491998</v>
      </c>
      <c r="R266" s="3">
        <v>1911.9728728814</v>
      </c>
      <c r="S266" s="4">
        <v>0.79665536370099999</v>
      </c>
      <c r="T266" s="3">
        <v>102.57711864411</v>
      </c>
      <c r="U266" s="2" t="s">
        <v>89</v>
      </c>
    </row>
    <row r="267" spans="1:21" ht="13.2">
      <c r="A267" s="2" t="s">
        <v>105</v>
      </c>
      <c r="B267" s="2" t="s">
        <v>106</v>
      </c>
      <c r="C267" s="2" t="s">
        <v>21</v>
      </c>
      <c r="D267" s="2" t="s">
        <v>76</v>
      </c>
      <c r="E267" s="2">
        <v>31</v>
      </c>
      <c r="F267" s="3">
        <v>87.572355932202996</v>
      </c>
      <c r="G267" s="3">
        <v>94.447779661016995</v>
      </c>
      <c r="H267" s="3">
        <v>128.89500847458001</v>
      </c>
      <c r="I267" s="3">
        <v>110.92605932203</v>
      </c>
      <c r="J267" s="3">
        <v>134.52163559322</v>
      </c>
      <c r="K267" s="3">
        <v>161.11545762712001</v>
      </c>
      <c r="L267" s="3">
        <v>116.597338983</v>
      </c>
      <c r="M267" s="3">
        <v>311.77921186441</v>
      </c>
      <c r="N267" s="3">
        <v>424.13629661017001</v>
      </c>
      <c r="O267" s="3">
        <v>366.71966949153</v>
      </c>
      <c r="P267" s="3">
        <v>5.399347457627</v>
      </c>
      <c r="Q267" s="3">
        <v>17.796610169491998</v>
      </c>
      <c r="R267" s="3">
        <v>1959.9067711864</v>
      </c>
      <c r="S267" s="4">
        <v>0.81662782132800005</v>
      </c>
      <c r="T267" s="3">
        <v>47.933898305</v>
      </c>
      <c r="U267" s="2" t="s">
        <v>89</v>
      </c>
    </row>
    <row r="268" spans="1:21" ht="13.2">
      <c r="A268" s="2" t="s">
        <v>105</v>
      </c>
      <c r="B268" s="2" t="s">
        <v>106</v>
      </c>
      <c r="C268" s="2" t="s">
        <v>21</v>
      </c>
      <c r="D268" s="2" t="s">
        <v>77</v>
      </c>
      <c r="E268" s="2">
        <v>32</v>
      </c>
      <c r="F268" s="3">
        <v>87.572355932202996</v>
      </c>
      <c r="G268" s="3">
        <v>94.447779661016995</v>
      </c>
      <c r="H268" s="3">
        <v>128.89500847458001</v>
      </c>
      <c r="I268" s="3">
        <v>110.92605932203</v>
      </c>
      <c r="J268" s="3">
        <v>134.52163559322</v>
      </c>
      <c r="K268" s="3">
        <v>161.11545762712001</v>
      </c>
      <c r="L268" s="3">
        <v>116.597338983</v>
      </c>
      <c r="M268" s="3">
        <v>311.77921186441</v>
      </c>
      <c r="N268" s="3">
        <v>424.13629661017001</v>
      </c>
      <c r="O268" s="3">
        <v>366.71966949153</v>
      </c>
      <c r="P268" s="3">
        <v>5.399347457627</v>
      </c>
      <c r="Q268" s="3">
        <v>17.796610169491998</v>
      </c>
      <c r="R268" s="3">
        <v>1959.9067711864</v>
      </c>
      <c r="S268" s="4">
        <v>0.81662782132800005</v>
      </c>
      <c r="T268" s="3">
        <v>0</v>
      </c>
      <c r="U268" s="2" t="s">
        <v>89</v>
      </c>
    </row>
    <row r="269" spans="1:21" ht="13.2">
      <c r="A269" s="2" t="s">
        <v>105</v>
      </c>
      <c r="B269" s="2" t="s">
        <v>106</v>
      </c>
      <c r="C269" s="2" t="s">
        <v>21</v>
      </c>
      <c r="D269" s="2" t="s">
        <v>78</v>
      </c>
      <c r="E269" s="2">
        <v>33</v>
      </c>
      <c r="F269" s="3">
        <v>87.572355932202996</v>
      </c>
      <c r="G269" s="3">
        <v>94.447779661016995</v>
      </c>
      <c r="H269" s="3">
        <v>128.89500847458001</v>
      </c>
      <c r="I269" s="3">
        <v>110.92605932203</v>
      </c>
      <c r="J269" s="3">
        <v>134.52163559322</v>
      </c>
      <c r="K269" s="3">
        <v>161.11545762712001</v>
      </c>
      <c r="L269" s="3">
        <v>116.597338983</v>
      </c>
      <c r="M269" s="3">
        <v>311.77921186441</v>
      </c>
      <c r="N269" s="3">
        <v>424.13629661017001</v>
      </c>
      <c r="O269" s="3">
        <v>366.71966949153</v>
      </c>
      <c r="P269" s="3">
        <v>5.399347457627</v>
      </c>
      <c r="Q269" s="3">
        <v>17.796610169491998</v>
      </c>
      <c r="R269" s="3">
        <v>1959.9067711864</v>
      </c>
      <c r="S269" s="4">
        <v>0.81662782132800005</v>
      </c>
      <c r="T269" s="3">
        <v>0</v>
      </c>
      <c r="U269" s="2" t="s">
        <v>98</v>
      </c>
    </row>
    <row r="270" spans="1:21" ht="13.2">
      <c r="A270" s="2" t="s">
        <v>105</v>
      </c>
      <c r="B270" s="2" t="s">
        <v>106</v>
      </c>
      <c r="C270" s="2" t="s">
        <v>21</v>
      </c>
      <c r="D270" s="2" t="s">
        <v>79</v>
      </c>
      <c r="E270" s="2">
        <v>34</v>
      </c>
      <c r="F270" s="3">
        <v>87.572355932202996</v>
      </c>
      <c r="G270" s="3">
        <v>94.447779661016995</v>
      </c>
      <c r="H270" s="3">
        <v>128.89500847458001</v>
      </c>
      <c r="I270" s="3">
        <v>110.92605932203</v>
      </c>
      <c r="J270" s="3">
        <v>134.52163559322</v>
      </c>
      <c r="K270" s="3">
        <v>161.11545762712001</v>
      </c>
      <c r="L270" s="3">
        <v>116.597338983</v>
      </c>
      <c r="M270" s="3">
        <v>179.95669491525001</v>
      </c>
      <c r="N270" s="3">
        <v>600.08293220338999</v>
      </c>
      <c r="O270" s="3">
        <v>399.71966949153</v>
      </c>
      <c r="P270" s="3">
        <v>7.5179915254239997</v>
      </c>
      <c r="Q270" s="3">
        <v>28.813559322033999</v>
      </c>
      <c r="R270" s="3">
        <v>2050.1664830507998</v>
      </c>
      <c r="S270" s="4">
        <v>0.85423603460499997</v>
      </c>
      <c r="T270" s="3">
        <v>90.259711864400003</v>
      </c>
      <c r="U270" s="2" t="s">
        <v>89</v>
      </c>
    </row>
    <row r="271" spans="1:21" ht="13.2">
      <c r="A271" s="2" t="s">
        <v>105</v>
      </c>
      <c r="B271" s="2" t="s">
        <v>106</v>
      </c>
      <c r="C271" s="2" t="s">
        <v>21</v>
      </c>
      <c r="D271" s="2" t="s">
        <v>80</v>
      </c>
      <c r="E271" s="2">
        <v>35</v>
      </c>
      <c r="F271" s="3">
        <v>87.572355932202996</v>
      </c>
      <c r="G271" s="3">
        <v>94.447779661016995</v>
      </c>
      <c r="H271" s="3">
        <v>128.89500847458001</v>
      </c>
      <c r="I271" s="3">
        <v>110.92605932203</v>
      </c>
      <c r="J271" s="3">
        <v>134.52163559322</v>
      </c>
      <c r="K271" s="3">
        <v>161.11545762712001</v>
      </c>
      <c r="L271" s="3">
        <v>116.597338983</v>
      </c>
      <c r="M271" s="3">
        <v>173.17703389831999</v>
      </c>
      <c r="N271" s="3">
        <v>621.69310169491996</v>
      </c>
      <c r="O271" s="3">
        <v>399.71966949153</v>
      </c>
      <c r="P271" s="3">
        <v>7.5179915254239997</v>
      </c>
      <c r="Q271" s="3">
        <v>28.813559322033999</v>
      </c>
      <c r="R271" s="3">
        <v>2064.9969915254001</v>
      </c>
      <c r="S271" s="4">
        <v>0.86041541313600001</v>
      </c>
      <c r="T271" s="3">
        <v>14.8305084746</v>
      </c>
      <c r="U271" s="2" t="s">
        <v>89</v>
      </c>
    </row>
    <row r="272" spans="1:21" ht="13.2">
      <c r="A272" s="2" t="s">
        <v>105</v>
      </c>
      <c r="B272" s="2" t="s">
        <v>106</v>
      </c>
      <c r="C272" s="2" t="s">
        <v>21</v>
      </c>
      <c r="D272" s="2" t="s">
        <v>81</v>
      </c>
      <c r="E272" s="2">
        <v>35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4"/>
      <c r="T272" s="3"/>
      <c r="U272" s="2" t="s">
        <v>90</v>
      </c>
    </row>
    <row r="273" spans="1:21" ht="13.2">
      <c r="A273" s="2" t="s">
        <v>105</v>
      </c>
      <c r="B273" s="2" t="s">
        <v>106</v>
      </c>
      <c r="C273" s="2" t="s">
        <v>21</v>
      </c>
      <c r="D273" s="2" t="s">
        <v>82</v>
      </c>
      <c r="E273" s="2">
        <v>35</v>
      </c>
      <c r="F273" s="3">
        <v>87.572355932202996</v>
      </c>
      <c r="G273" s="3">
        <v>94.447779661016995</v>
      </c>
      <c r="H273" s="3">
        <v>128.89500847458001</v>
      </c>
      <c r="I273" s="3">
        <v>110.92605932203</v>
      </c>
      <c r="J273" s="3">
        <v>134.52163559322</v>
      </c>
      <c r="K273" s="3">
        <v>161.11545762712001</v>
      </c>
      <c r="L273" s="3">
        <v>116.597338983</v>
      </c>
      <c r="M273" s="3">
        <v>173.17703389831999</v>
      </c>
      <c r="N273" s="3">
        <v>621.69310169491996</v>
      </c>
      <c r="O273" s="3">
        <v>399.71966949153</v>
      </c>
      <c r="P273" s="3">
        <v>7.5179915254239997</v>
      </c>
      <c r="Q273" s="3">
        <v>28.813559322033999</v>
      </c>
      <c r="R273" s="3">
        <v>2064.9969915253978</v>
      </c>
      <c r="S273" s="4">
        <v>0.86041541313600001</v>
      </c>
      <c r="T273" s="3"/>
      <c r="U273" s="2" t="s">
        <v>91</v>
      </c>
    </row>
  </sheetData>
  <phoneticPr fontId="11" type="noConversion"/>
  <pageMargins left="0.35" right="0.35" top="0.55000000000000004" bottom="0.55000000000000004" header="0.2" footer="0.2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8"/>
  <sheetViews>
    <sheetView showGridLines="0" zoomScale="140" zoomScaleNormal="140" workbookViewId="0">
      <pane xSplit="3" ySplit="7" topLeftCell="D26" activePane="bottomRight" state="frozen"/>
      <selection pane="topRight"/>
      <selection pane="bottomLeft"/>
      <selection pane="bottomRight" activeCell="C44" sqref="C44"/>
    </sheetView>
  </sheetViews>
  <sheetFormatPr defaultRowHeight="13.8"/>
  <cols>
    <col min="1" max="1" width="13" customWidth="1"/>
    <col min="2" max="2" width="29" customWidth="1"/>
    <col min="3" max="3" width="15" customWidth="1"/>
    <col min="4" max="15" width="12" customWidth="1"/>
    <col min="16" max="16" width="14" customWidth="1"/>
    <col min="17" max="17" width="13" customWidth="1"/>
    <col min="18" max="18" width="14" customWidth="1"/>
  </cols>
  <sheetData>
    <row r="1" spans="1:18" ht="28.05" customHeight="1">
      <c r="A1" s="13" t="s">
        <v>107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3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3.2">
      <c r="A3" s="15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5" spans="1:18" ht="13.2">
      <c r="A5" s="20" t="s">
        <v>108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13.2">
      <c r="A6" s="15" t="s">
        <v>109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ht="13.2">
      <c r="A7" s="1" t="s">
        <v>10</v>
      </c>
      <c r="B7" s="1" t="s">
        <v>11</v>
      </c>
      <c r="C7" s="1" t="s">
        <v>110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  <c r="O7" s="1" t="s">
        <v>40</v>
      </c>
      <c r="P7" s="1" t="s">
        <v>47</v>
      </c>
      <c r="Q7" s="1" t="s">
        <v>13</v>
      </c>
      <c r="R7" s="1" t="s">
        <v>14</v>
      </c>
    </row>
    <row r="8" spans="1:18" ht="13.2">
      <c r="A8" s="2" t="s">
        <v>15</v>
      </c>
      <c r="B8" s="2" t="s">
        <v>16</v>
      </c>
      <c r="C8" s="2" t="s">
        <v>12</v>
      </c>
      <c r="D8" s="3">
        <v>842.19690034772998</v>
      </c>
      <c r="E8" s="3">
        <v>889.09172751672997</v>
      </c>
      <c r="F8" s="3">
        <v>920.68851713838001</v>
      </c>
      <c r="G8" s="3">
        <v>912.37541971092003</v>
      </c>
      <c r="H8" s="3">
        <v>873.54919874784002</v>
      </c>
      <c r="I8" s="3">
        <v>937.03790652785995</v>
      </c>
      <c r="J8" s="3">
        <v>877.69876765372999</v>
      </c>
      <c r="K8" s="3">
        <v>889.68641115966</v>
      </c>
      <c r="L8" s="3">
        <v>867.79986821642001</v>
      </c>
      <c r="M8" s="3">
        <v>845.67322906417996</v>
      </c>
      <c r="N8" s="3">
        <v>853.76018989833005</v>
      </c>
      <c r="O8" s="3">
        <v>917.50696122654995</v>
      </c>
      <c r="P8" s="3">
        <v>10627.065097208331</v>
      </c>
      <c r="Q8" s="4"/>
      <c r="R8" s="7"/>
    </row>
    <row r="9" spans="1:18" ht="13.2">
      <c r="A9" s="2"/>
      <c r="B9" s="2"/>
      <c r="C9" s="2" t="s">
        <v>28</v>
      </c>
      <c r="D9" s="3">
        <v>310</v>
      </c>
      <c r="E9" s="3">
        <v>49</v>
      </c>
      <c r="F9" s="3">
        <v>251</v>
      </c>
      <c r="G9" s="3">
        <v>328</v>
      </c>
      <c r="H9" s="3">
        <v>242</v>
      </c>
      <c r="I9" s="3">
        <v>665</v>
      </c>
      <c r="J9" s="3">
        <v>118.9134</v>
      </c>
      <c r="K9" s="3">
        <v>77</v>
      </c>
      <c r="L9" s="3">
        <v>602</v>
      </c>
      <c r="M9" s="3">
        <v>167</v>
      </c>
      <c r="N9" s="3">
        <v>90</v>
      </c>
      <c r="O9" s="3">
        <v>62</v>
      </c>
      <c r="P9" s="3">
        <v>2961.9133999999999</v>
      </c>
      <c r="Q9" s="4"/>
      <c r="R9" s="7"/>
    </row>
    <row r="10" spans="1:18" ht="13.2">
      <c r="A10" s="2"/>
      <c r="B10" s="2"/>
      <c r="C10" s="2" t="s">
        <v>5</v>
      </c>
      <c r="D10" s="12">
        <v>0</v>
      </c>
      <c r="E10" s="12">
        <v>0</v>
      </c>
      <c r="F10" s="12">
        <v>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56</v>
      </c>
      <c r="M10" s="12">
        <v>53</v>
      </c>
      <c r="N10" s="12">
        <v>155</v>
      </c>
      <c r="O10" s="12">
        <v>6</v>
      </c>
      <c r="P10" s="12">
        <v>271</v>
      </c>
      <c r="Q10" s="4"/>
      <c r="R10" s="7"/>
    </row>
    <row r="11" spans="1:18" ht="13.2">
      <c r="A11" s="2"/>
      <c r="B11" s="2"/>
      <c r="C11" s="9" t="s">
        <v>6</v>
      </c>
      <c r="D11" s="10">
        <v>310</v>
      </c>
      <c r="E11" s="10">
        <v>49</v>
      </c>
      <c r="F11" s="10">
        <v>252</v>
      </c>
      <c r="G11" s="10">
        <v>328</v>
      </c>
      <c r="H11" s="10">
        <v>242</v>
      </c>
      <c r="I11" s="10">
        <v>665</v>
      </c>
      <c r="J11" s="10">
        <v>118.9134</v>
      </c>
      <c r="K11" s="10">
        <v>77</v>
      </c>
      <c r="L11" s="10">
        <v>658</v>
      </c>
      <c r="M11" s="10">
        <v>220</v>
      </c>
      <c r="N11" s="10">
        <v>245</v>
      </c>
      <c r="O11" s="10">
        <v>68</v>
      </c>
      <c r="P11" s="10">
        <v>3232.9133999999999</v>
      </c>
      <c r="Q11" s="4">
        <v>0.30421507447500001</v>
      </c>
      <c r="R11" s="7">
        <v>-7394.1516972083318</v>
      </c>
    </row>
    <row r="12" spans="1:18" ht="13.2">
      <c r="A12" s="2" t="s">
        <v>17</v>
      </c>
      <c r="B12" s="2" t="s">
        <v>18</v>
      </c>
      <c r="C12" s="2" t="s">
        <v>12</v>
      </c>
      <c r="D12" s="3">
        <v>1610</v>
      </c>
      <c r="E12" s="3">
        <v>1250</v>
      </c>
      <c r="F12" s="3">
        <v>1905</v>
      </c>
      <c r="G12" s="3">
        <v>5110</v>
      </c>
      <c r="H12" s="3">
        <v>1950</v>
      </c>
      <c r="I12" s="3">
        <v>2600</v>
      </c>
      <c r="J12" s="3">
        <v>1360</v>
      </c>
      <c r="K12" s="3">
        <v>1100</v>
      </c>
      <c r="L12" s="3">
        <v>2300</v>
      </c>
      <c r="M12" s="3">
        <v>1250</v>
      </c>
      <c r="N12" s="3">
        <v>2480</v>
      </c>
      <c r="O12" s="3">
        <v>2000</v>
      </c>
      <c r="P12" s="3">
        <v>24915</v>
      </c>
      <c r="Q12" s="4"/>
      <c r="R12" s="7"/>
    </row>
    <row r="13" spans="1:18" ht="13.2">
      <c r="A13" s="2"/>
      <c r="B13" s="2"/>
      <c r="C13" s="2" t="s">
        <v>28</v>
      </c>
      <c r="D13" s="3">
        <v>1031</v>
      </c>
      <c r="E13" s="3">
        <v>312</v>
      </c>
      <c r="F13" s="3">
        <v>3234</v>
      </c>
      <c r="G13" s="3">
        <v>6046</v>
      </c>
      <c r="H13" s="3">
        <v>1581</v>
      </c>
      <c r="I13" s="3">
        <v>2336</v>
      </c>
      <c r="J13" s="3">
        <v>768.10195499999998</v>
      </c>
      <c r="K13" s="3">
        <v>585.89804500000002</v>
      </c>
      <c r="L13" s="3">
        <v>2456</v>
      </c>
      <c r="M13" s="3">
        <v>903</v>
      </c>
      <c r="N13" s="3">
        <v>735</v>
      </c>
      <c r="O13" s="3">
        <v>78</v>
      </c>
      <c r="P13" s="3">
        <v>20066</v>
      </c>
      <c r="Q13" s="4"/>
      <c r="R13" s="7"/>
    </row>
    <row r="14" spans="1:18" ht="13.2">
      <c r="A14" s="2"/>
      <c r="B14" s="2"/>
      <c r="C14" s="2" t="s">
        <v>5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5</v>
      </c>
      <c r="L14" s="12">
        <v>15</v>
      </c>
      <c r="M14" s="12">
        <v>40</v>
      </c>
      <c r="N14" s="12">
        <v>223</v>
      </c>
      <c r="O14" s="12">
        <v>510</v>
      </c>
      <c r="P14" s="12">
        <v>793</v>
      </c>
      <c r="Q14" s="4"/>
      <c r="R14" s="7"/>
    </row>
    <row r="15" spans="1:18" ht="13.2">
      <c r="A15" s="2"/>
      <c r="B15" s="2"/>
      <c r="C15" s="9" t="s">
        <v>6</v>
      </c>
      <c r="D15" s="10">
        <v>1031</v>
      </c>
      <c r="E15" s="10">
        <v>312</v>
      </c>
      <c r="F15" s="10">
        <v>3234</v>
      </c>
      <c r="G15" s="10">
        <v>6046</v>
      </c>
      <c r="H15" s="10">
        <v>1581</v>
      </c>
      <c r="I15" s="10">
        <v>2336</v>
      </c>
      <c r="J15" s="10">
        <v>768.10195499999998</v>
      </c>
      <c r="K15" s="10">
        <v>590.89804500000002</v>
      </c>
      <c r="L15" s="10">
        <v>2471</v>
      </c>
      <c r="M15" s="10">
        <v>943</v>
      </c>
      <c r="N15" s="10">
        <v>958</v>
      </c>
      <c r="O15" s="10">
        <v>588</v>
      </c>
      <c r="P15" s="10">
        <v>20859</v>
      </c>
      <c r="Q15" s="4">
        <v>0.83720650210699998</v>
      </c>
      <c r="R15" s="7">
        <v>-4056</v>
      </c>
    </row>
    <row r="16" spans="1:18" ht="13.2">
      <c r="A16" s="2" t="s">
        <v>17</v>
      </c>
      <c r="B16" s="2" t="s">
        <v>19</v>
      </c>
      <c r="C16" s="2" t="s">
        <v>12</v>
      </c>
      <c r="D16" s="3">
        <v>1200</v>
      </c>
      <c r="E16" s="3">
        <v>1350</v>
      </c>
      <c r="F16" s="3">
        <v>1550</v>
      </c>
      <c r="G16" s="3">
        <v>1650</v>
      </c>
      <c r="H16" s="3">
        <v>1750</v>
      </c>
      <c r="I16" s="3">
        <v>1350</v>
      </c>
      <c r="J16" s="3">
        <v>1100</v>
      </c>
      <c r="K16" s="3">
        <v>200</v>
      </c>
      <c r="L16" s="3">
        <v>1700</v>
      </c>
      <c r="M16" s="3">
        <v>1750</v>
      </c>
      <c r="N16" s="3">
        <v>700</v>
      </c>
      <c r="O16" s="3">
        <v>200</v>
      </c>
      <c r="P16" s="3">
        <v>14500</v>
      </c>
      <c r="Q16" s="4"/>
      <c r="R16" s="7"/>
    </row>
    <row r="17" spans="1:18" ht="13.2">
      <c r="A17" s="2"/>
      <c r="B17" s="2"/>
      <c r="C17" s="2" t="s">
        <v>28</v>
      </c>
      <c r="D17" s="3">
        <v>524</v>
      </c>
      <c r="E17" s="3">
        <v>677</v>
      </c>
      <c r="F17" s="3">
        <v>1167</v>
      </c>
      <c r="G17" s="3">
        <v>1565</v>
      </c>
      <c r="H17" s="3">
        <v>1145</v>
      </c>
      <c r="I17" s="3">
        <v>620</v>
      </c>
      <c r="J17" s="3">
        <v>1035.3975324999999</v>
      </c>
      <c r="K17" s="3">
        <v>525</v>
      </c>
      <c r="L17" s="3">
        <v>1240</v>
      </c>
      <c r="M17" s="3">
        <v>895</v>
      </c>
      <c r="N17" s="3">
        <v>995</v>
      </c>
      <c r="O17" s="3">
        <v>265</v>
      </c>
      <c r="P17" s="3">
        <v>10653.397532499999</v>
      </c>
      <c r="Q17" s="4"/>
      <c r="R17" s="7"/>
    </row>
    <row r="18" spans="1:18" ht="13.2">
      <c r="A18" s="2"/>
      <c r="B18" s="2"/>
      <c r="C18" s="2" t="s">
        <v>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138</v>
      </c>
      <c r="N18" s="12">
        <v>173</v>
      </c>
      <c r="O18" s="12">
        <v>175</v>
      </c>
      <c r="P18" s="12">
        <v>486</v>
      </c>
      <c r="Q18" s="4"/>
      <c r="R18" s="7"/>
    </row>
    <row r="19" spans="1:18" ht="13.2">
      <c r="A19" s="2"/>
      <c r="B19" s="2"/>
      <c r="C19" s="9" t="s">
        <v>6</v>
      </c>
      <c r="D19" s="10">
        <v>524</v>
      </c>
      <c r="E19" s="10">
        <v>677</v>
      </c>
      <c r="F19" s="10">
        <v>1167</v>
      </c>
      <c r="G19" s="10">
        <v>1565</v>
      </c>
      <c r="H19" s="10">
        <v>1145</v>
      </c>
      <c r="I19" s="10">
        <v>620</v>
      </c>
      <c r="J19" s="10">
        <v>1035.3975324999999</v>
      </c>
      <c r="K19" s="10">
        <v>525</v>
      </c>
      <c r="L19" s="10">
        <v>1240</v>
      </c>
      <c r="M19" s="10">
        <v>1033</v>
      </c>
      <c r="N19" s="10">
        <v>1168</v>
      </c>
      <c r="O19" s="10">
        <v>440</v>
      </c>
      <c r="P19" s="10">
        <v>11139.397532499999</v>
      </c>
      <c r="Q19" s="4">
        <v>0.76823431258599995</v>
      </c>
      <c r="R19" s="7">
        <v>-3360.6024675000008</v>
      </c>
    </row>
    <row r="20" spans="1:18" ht="13.2">
      <c r="A20" s="2" t="s">
        <v>17</v>
      </c>
      <c r="B20" s="2" t="s">
        <v>20</v>
      </c>
      <c r="C20" s="2" t="s">
        <v>12</v>
      </c>
      <c r="D20" s="3">
        <v>70</v>
      </c>
      <c r="E20" s="3">
        <v>190</v>
      </c>
      <c r="F20" s="3">
        <v>215</v>
      </c>
      <c r="G20" s="3">
        <v>130</v>
      </c>
      <c r="H20" s="3">
        <v>140</v>
      </c>
      <c r="I20" s="3">
        <v>100</v>
      </c>
      <c r="J20" s="3">
        <v>80</v>
      </c>
      <c r="K20" s="3">
        <v>90</v>
      </c>
      <c r="L20" s="3">
        <v>190</v>
      </c>
      <c r="M20" s="3">
        <v>120</v>
      </c>
      <c r="N20" s="3">
        <v>110</v>
      </c>
      <c r="O20" s="3">
        <v>65</v>
      </c>
      <c r="P20" s="3">
        <v>1500</v>
      </c>
      <c r="Q20" s="4"/>
      <c r="R20" s="7"/>
    </row>
    <row r="21" spans="1:18" ht="13.2">
      <c r="A21" s="2"/>
      <c r="B21" s="2"/>
      <c r="C21" s="2" t="s">
        <v>28</v>
      </c>
      <c r="D21" s="3">
        <v>104</v>
      </c>
      <c r="E21" s="3">
        <v>84</v>
      </c>
      <c r="F21" s="3">
        <v>216</v>
      </c>
      <c r="G21" s="3">
        <v>157</v>
      </c>
      <c r="H21" s="3">
        <v>170</v>
      </c>
      <c r="I21" s="3">
        <v>185</v>
      </c>
      <c r="J21" s="3">
        <v>146.19999999999999</v>
      </c>
      <c r="K21" s="3">
        <v>161.80000000000001</v>
      </c>
      <c r="L21" s="3">
        <v>128</v>
      </c>
      <c r="M21" s="3">
        <v>120</v>
      </c>
      <c r="N21" s="3">
        <v>160</v>
      </c>
      <c r="O21" s="3">
        <v>51</v>
      </c>
      <c r="P21" s="3">
        <v>1683</v>
      </c>
      <c r="Q21" s="4"/>
      <c r="R21" s="7"/>
    </row>
    <row r="22" spans="1:18" ht="13.2">
      <c r="A22" s="2"/>
      <c r="B22" s="2"/>
      <c r="C22" s="2" t="s">
        <v>5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4"/>
      <c r="R22" s="7"/>
    </row>
    <row r="23" spans="1:18" ht="13.2">
      <c r="A23" s="2"/>
      <c r="B23" s="2"/>
      <c r="C23" s="9" t="s">
        <v>6</v>
      </c>
      <c r="D23" s="10">
        <v>104</v>
      </c>
      <c r="E23" s="10">
        <v>84</v>
      </c>
      <c r="F23" s="10">
        <v>216</v>
      </c>
      <c r="G23" s="10">
        <v>157</v>
      </c>
      <c r="H23" s="10">
        <v>170</v>
      </c>
      <c r="I23" s="10">
        <v>185</v>
      </c>
      <c r="J23" s="10">
        <v>146.19999999999999</v>
      </c>
      <c r="K23" s="10">
        <v>161.80000000000001</v>
      </c>
      <c r="L23" s="10">
        <v>128</v>
      </c>
      <c r="M23" s="10">
        <v>120</v>
      </c>
      <c r="N23" s="10">
        <v>160</v>
      </c>
      <c r="O23" s="10">
        <v>51</v>
      </c>
      <c r="P23" s="10">
        <v>1683</v>
      </c>
      <c r="Q23" s="4">
        <v>1.1220000000000001</v>
      </c>
      <c r="R23" s="6">
        <v>183</v>
      </c>
    </row>
    <row r="24" spans="1:18" ht="13.2">
      <c r="A24" s="2" t="s">
        <v>21</v>
      </c>
      <c r="B24" s="2" t="s">
        <v>22</v>
      </c>
      <c r="C24" s="2" t="s">
        <v>12</v>
      </c>
      <c r="D24" s="3">
        <v>542.90126435672005</v>
      </c>
      <c r="E24" s="3">
        <v>620.45858783625999</v>
      </c>
      <c r="F24" s="3">
        <v>542.90126435672005</v>
      </c>
      <c r="G24" s="3">
        <v>517.04882319687999</v>
      </c>
      <c r="H24" s="3">
        <v>499.81386242364999</v>
      </c>
      <c r="I24" s="3">
        <v>534.28378397009999</v>
      </c>
      <c r="J24" s="3">
        <v>499.81386242364999</v>
      </c>
      <c r="K24" s="3">
        <v>517.04882319687999</v>
      </c>
      <c r="L24" s="3">
        <v>499.81386242364999</v>
      </c>
      <c r="M24" s="3">
        <v>534.28378397010999</v>
      </c>
      <c r="N24" s="3">
        <v>499.81386242364999</v>
      </c>
      <c r="O24" s="3">
        <v>517.04882319687999</v>
      </c>
      <c r="P24" s="3">
        <v>6325.2306037751496</v>
      </c>
      <c r="Q24" s="4"/>
      <c r="R24" s="7"/>
    </row>
    <row r="25" spans="1:18" ht="13.2">
      <c r="A25" s="2"/>
      <c r="B25" s="2"/>
      <c r="C25" s="2" t="s">
        <v>28</v>
      </c>
      <c r="D25" s="3">
        <v>461</v>
      </c>
      <c r="E25" s="3">
        <v>517</v>
      </c>
      <c r="F25" s="3">
        <v>484.89141525423997</v>
      </c>
      <c r="G25" s="3">
        <v>502.57742372881</v>
      </c>
      <c r="H25" s="3">
        <v>535.03141525423996</v>
      </c>
      <c r="I25" s="3">
        <v>516.38732203389998</v>
      </c>
      <c r="J25" s="3">
        <v>419.42227118646002</v>
      </c>
      <c r="K25" s="3">
        <v>597.27352542369999</v>
      </c>
      <c r="L25" s="3">
        <v>594.67923728814003</v>
      </c>
      <c r="M25" s="3">
        <v>634.21935292572005</v>
      </c>
      <c r="N25" s="3">
        <v>568.13984901438005</v>
      </c>
      <c r="O25" s="3">
        <v>601.76692372880996</v>
      </c>
      <c r="P25" s="3">
        <v>6432.3887358384</v>
      </c>
      <c r="Q25" s="4"/>
      <c r="R25" s="7"/>
    </row>
    <row r="26" spans="1:18" ht="13.2">
      <c r="A26" s="2"/>
      <c r="B26" s="2"/>
      <c r="C26" s="2" t="s">
        <v>5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4"/>
      <c r="R26" s="7"/>
    </row>
    <row r="27" spans="1:18" ht="13.2">
      <c r="A27" s="2"/>
      <c r="B27" s="2"/>
      <c r="C27" s="9" t="s">
        <v>6</v>
      </c>
      <c r="D27" s="10">
        <v>461</v>
      </c>
      <c r="E27" s="10">
        <v>517</v>
      </c>
      <c r="F27" s="10">
        <v>484.89141525423997</v>
      </c>
      <c r="G27" s="10">
        <v>502.57742372881</v>
      </c>
      <c r="H27" s="10">
        <v>535.03141525423996</v>
      </c>
      <c r="I27" s="10">
        <v>516.38732203389998</v>
      </c>
      <c r="J27" s="10">
        <v>419.42227118646002</v>
      </c>
      <c r="K27" s="10">
        <v>597.27352542369999</v>
      </c>
      <c r="L27" s="10">
        <v>594.67923728814003</v>
      </c>
      <c r="M27" s="10">
        <v>634.21935292572005</v>
      </c>
      <c r="N27" s="10">
        <v>568.13984901438005</v>
      </c>
      <c r="O27" s="10">
        <v>601.76692372880996</v>
      </c>
      <c r="P27" s="10">
        <v>6432.3887358384</v>
      </c>
      <c r="Q27" s="4">
        <v>1.0169413794969999</v>
      </c>
      <c r="R27" s="6">
        <v>107.15813206324999</v>
      </c>
    </row>
    <row r="28" spans="1:18" ht="13.2">
      <c r="A28" s="2" t="s">
        <v>21</v>
      </c>
      <c r="B28" s="2" t="s">
        <v>23</v>
      </c>
      <c r="C28" s="2" t="s">
        <v>12</v>
      </c>
      <c r="D28" s="3">
        <v>569.48266373142997</v>
      </c>
      <c r="E28" s="3">
        <v>802.65088974499997</v>
      </c>
      <c r="F28" s="3">
        <v>934.82847184003003</v>
      </c>
      <c r="G28" s="3">
        <v>979.17813245276</v>
      </c>
      <c r="H28" s="3">
        <v>830.12291322693</v>
      </c>
      <c r="I28" s="3">
        <v>830.12291322693</v>
      </c>
      <c r="J28" s="3">
        <v>919.51018161804996</v>
      </c>
      <c r="K28" s="3">
        <v>822.50963126032002</v>
      </c>
      <c r="L28" s="3">
        <v>1365.1623555311</v>
      </c>
      <c r="M28" s="3">
        <v>1338.4241423592</v>
      </c>
      <c r="N28" s="3">
        <v>1337.6903320491001</v>
      </c>
      <c r="O28" s="3">
        <v>589.34140524680004</v>
      </c>
      <c r="P28" s="3">
        <v>11319.024032287649</v>
      </c>
      <c r="Q28" s="4"/>
      <c r="R28" s="7"/>
    </row>
    <row r="29" spans="1:18" ht="13.2">
      <c r="A29" s="2"/>
      <c r="B29" s="2"/>
      <c r="C29" s="2" t="s">
        <v>28</v>
      </c>
      <c r="D29" s="3">
        <v>666</v>
      </c>
      <c r="E29" s="3">
        <v>734.83644067797002</v>
      </c>
      <c r="F29" s="3">
        <v>442.37288135593002</v>
      </c>
      <c r="G29" s="3">
        <v>431</v>
      </c>
      <c r="H29" s="3">
        <v>462</v>
      </c>
      <c r="I29" s="3">
        <v>980.50847457627003</v>
      </c>
      <c r="J29" s="3">
        <v>599.383898305</v>
      </c>
      <c r="K29" s="3">
        <v>545.82741525423</v>
      </c>
      <c r="L29" s="3">
        <v>1646.6921440678</v>
      </c>
      <c r="M29" s="3">
        <v>1524.4957627118999</v>
      </c>
      <c r="N29" s="3">
        <v>1655.2451186441001</v>
      </c>
      <c r="O29" s="3">
        <v>1511.2822033898001</v>
      </c>
      <c r="P29" s="3">
        <v>11199.644338983002</v>
      </c>
      <c r="Q29" s="4"/>
      <c r="R29" s="7"/>
    </row>
    <row r="30" spans="1:18" ht="13.2">
      <c r="A30" s="2"/>
      <c r="B30" s="2"/>
      <c r="C30" s="2" t="s">
        <v>5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120</v>
      </c>
      <c r="P30" s="12">
        <v>120</v>
      </c>
      <c r="Q30" s="4"/>
      <c r="R30" s="7"/>
    </row>
    <row r="31" spans="1:18" ht="13.2">
      <c r="A31" s="2"/>
      <c r="B31" s="2"/>
      <c r="C31" s="9" t="s">
        <v>6</v>
      </c>
      <c r="D31" s="10">
        <v>666</v>
      </c>
      <c r="E31" s="10">
        <v>734.83644067797002</v>
      </c>
      <c r="F31" s="10">
        <v>442.37288135593002</v>
      </c>
      <c r="G31" s="10">
        <v>431</v>
      </c>
      <c r="H31" s="10">
        <v>462</v>
      </c>
      <c r="I31" s="10">
        <v>980.50847457627003</v>
      </c>
      <c r="J31" s="10">
        <v>599.383898305</v>
      </c>
      <c r="K31" s="10">
        <v>545.82741525423</v>
      </c>
      <c r="L31" s="10">
        <v>1646.6921440678</v>
      </c>
      <c r="M31" s="10">
        <v>1524.4957627118999</v>
      </c>
      <c r="N31" s="10">
        <v>1655.2451186441001</v>
      </c>
      <c r="O31" s="10">
        <v>1631.2822033898001</v>
      </c>
      <c r="P31" s="10">
        <v>11319.644338983002</v>
      </c>
      <c r="Q31" s="4">
        <v>1.0000548021360001</v>
      </c>
      <c r="R31" s="6">
        <v>0.62030669535299998</v>
      </c>
    </row>
    <row r="32" spans="1:18" ht="13.2">
      <c r="A32" s="2" t="s">
        <v>21</v>
      </c>
      <c r="B32" s="2" t="s">
        <v>24</v>
      </c>
      <c r="C32" s="2" t="s">
        <v>12</v>
      </c>
      <c r="D32" s="3">
        <v>1539.9072916831001</v>
      </c>
      <c r="E32" s="3">
        <v>1500.2926798399001</v>
      </c>
      <c r="F32" s="3">
        <v>1596.2283851983</v>
      </c>
      <c r="G32" s="3">
        <v>1874.2900536315999</v>
      </c>
      <c r="H32" s="3">
        <v>1326.8996503661999</v>
      </c>
      <c r="I32" s="3">
        <v>963.53367400215996</v>
      </c>
      <c r="J32" s="3">
        <v>1465.7406382002</v>
      </c>
      <c r="K32" s="3">
        <v>1305.2571627458001</v>
      </c>
      <c r="L32" s="3">
        <v>1142.8752234650001</v>
      </c>
      <c r="M32" s="3">
        <v>1004.9201854166</v>
      </c>
      <c r="N32" s="3">
        <v>753.94326757264002</v>
      </c>
      <c r="O32" s="3">
        <v>949.99129870744002</v>
      </c>
      <c r="P32" s="3">
        <v>15423.879510828943</v>
      </c>
      <c r="Q32" s="4"/>
      <c r="R32" s="7"/>
    </row>
    <row r="33" spans="1:18" ht="13.2">
      <c r="A33" s="2"/>
      <c r="B33" s="2"/>
      <c r="C33" s="2" t="s">
        <v>28</v>
      </c>
      <c r="D33" s="3">
        <v>1324</v>
      </c>
      <c r="E33" s="3">
        <v>1257</v>
      </c>
      <c r="F33" s="3">
        <v>1091</v>
      </c>
      <c r="G33" s="3">
        <v>2177</v>
      </c>
      <c r="H33" s="3">
        <v>1150</v>
      </c>
      <c r="I33" s="3">
        <v>1259</v>
      </c>
      <c r="J33" s="3">
        <v>2194.4483253965</v>
      </c>
      <c r="K33" s="3">
        <v>1492.6835849206</v>
      </c>
      <c r="L33" s="3">
        <v>1487.9920463492001</v>
      </c>
      <c r="M33" s="3">
        <v>1164.9984547618999</v>
      </c>
      <c r="N33" s="3">
        <v>306.95795873015999</v>
      </c>
      <c r="O33" s="3">
        <v>149.89878253968001</v>
      </c>
      <c r="P33" s="3">
        <v>15054.979152698041</v>
      </c>
      <c r="Q33" s="4"/>
      <c r="R33" s="7"/>
    </row>
    <row r="34" spans="1:18" ht="13.2">
      <c r="A34" s="2"/>
      <c r="B34" s="2"/>
      <c r="C34" s="2" t="s">
        <v>5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139</v>
      </c>
      <c r="N34" s="12">
        <v>37</v>
      </c>
      <c r="O34" s="12">
        <v>0</v>
      </c>
      <c r="P34" s="12">
        <v>176</v>
      </c>
      <c r="Q34" s="4"/>
      <c r="R34" s="7"/>
    </row>
    <row r="35" spans="1:18" ht="13.2">
      <c r="A35" s="2"/>
      <c r="B35" s="2"/>
      <c r="C35" s="9" t="s">
        <v>6</v>
      </c>
      <c r="D35" s="10">
        <v>1324</v>
      </c>
      <c r="E35" s="10">
        <v>1257</v>
      </c>
      <c r="F35" s="10">
        <v>1091</v>
      </c>
      <c r="G35" s="10">
        <v>2177</v>
      </c>
      <c r="H35" s="10">
        <v>1150</v>
      </c>
      <c r="I35" s="10">
        <v>1259</v>
      </c>
      <c r="J35" s="10">
        <v>2194.4483253965</v>
      </c>
      <c r="K35" s="10">
        <v>1492.6835849206</v>
      </c>
      <c r="L35" s="10">
        <v>1487.9920463492001</v>
      </c>
      <c r="M35" s="10">
        <v>1303.9984547618999</v>
      </c>
      <c r="N35" s="10">
        <v>343.95795873015999</v>
      </c>
      <c r="O35" s="10">
        <v>149.89878253968001</v>
      </c>
      <c r="P35" s="10">
        <v>15230.979152698041</v>
      </c>
      <c r="Q35" s="4">
        <v>0.98749339567899996</v>
      </c>
      <c r="R35" s="7">
        <v>-192.90035813090299</v>
      </c>
    </row>
    <row r="36" spans="1:18" ht="13.2">
      <c r="A36" s="2" t="s">
        <v>21</v>
      </c>
      <c r="B36" s="2" t="s">
        <v>25</v>
      </c>
      <c r="C36" s="2" t="s">
        <v>12</v>
      </c>
      <c r="D36" s="3">
        <v>200</v>
      </c>
      <c r="E36" s="3">
        <v>200</v>
      </c>
      <c r="F36" s="3">
        <v>200</v>
      </c>
      <c r="G36" s="3">
        <v>200</v>
      </c>
      <c r="H36" s="3">
        <v>200</v>
      </c>
      <c r="I36" s="3">
        <v>200</v>
      </c>
      <c r="J36" s="3">
        <v>200</v>
      </c>
      <c r="K36" s="3">
        <v>200</v>
      </c>
      <c r="L36" s="3">
        <v>200</v>
      </c>
      <c r="M36" s="3">
        <v>200</v>
      </c>
      <c r="N36" s="3">
        <v>200</v>
      </c>
      <c r="O36" s="3">
        <v>200</v>
      </c>
      <c r="P36" s="3">
        <v>2400</v>
      </c>
      <c r="Q36" s="4"/>
      <c r="R36" s="7"/>
    </row>
    <row r="37" spans="1:18" ht="13.2">
      <c r="A37" s="2"/>
      <c r="B37" s="2"/>
      <c r="C37" s="2" t="s">
        <v>28</v>
      </c>
      <c r="D37" s="3">
        <v>87.572355932202996</v>
      </c>
      <c r="E37" s="3">
        <v>94.447779661016995</v>
      </c>
      <c r="F37" s="3">
        <v>128.89500847458001</v>
      </c>
      <c r="G37" s="3">
        <v>110.92605932203</v>
      </c>
      <c r="H37" s="3">
        <v>134.52163559322</v>
      </c>
      <c r="I37" s="3">
        <v>161.11545762712001</v>
      </c>
      <c r="J37" s="3">
        <v>116.597338983</v>
      </c>
      <c r="K37" s="3">
        <v>173.17703389831999</v>
      </c>
      <c r="L37" s="3">
        <v>621.69310169491996</v>
      </c>
      <c r="M37" s="3">
        <v>399.71966949153</v>
      </c>
      <c r="N37" s="3">
        <v>7.5179915254239997</v>
      </c>
      <c r="O37" s="3">
        <v>28.813559322033999</v>
      </c>
      <c r="P37" s="3">
        <v>2064.9969915253978</v>
      </c>
      <c r="Q37" s="4"/>
      <c r="R37" s="7"/>
    </row>
    <row r="38" spans="1:18" ht="13.2">
      <c r="A38" s="2"/>
      <c r="B38" s="2"/>
      <c r="C38" s="2" t="s">
        <v>5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4"/>
      <c r="R38" s="7"/>
    </row>
    <row r="39" spans="1:18" ht="13.2">
      <c r="A39" s="2"/>
      <c r="B39" s="2"/>
      <c r="C39" s="9" t="s">
        <v>6</v>
      </c>
      <c r="D39" s="10">
        <v>87.572355932202996</v>
      </c>
      <c r="E39" s="10">
        <v>94.447779661016995</v>
      </c>
      <c r="F39" s="10">
        <v>128.89500847458001</v>
      </c>
      <c r="G39" s="10">
        <v>110.92605932203</v>
      </c>
      <c r="H39" s="10">
        <v>134.52163559322</v>
      </c>
      <c r="I39" s="10">
        <v>161.11545762712001</v>
      </c>
      <c r="J39" s="10">
        <v>116.597338983</v>
      </c>
      <c r="K39" s="10">
        <v>173.17703389831999</v>
      </c>
      <c r="L39" s="10">
        <v>621.69310169491996</v>
      </c>
      <c r="M39" s="10">
        <v>399.71966949153</v>
      </c>
      <c r="N39" s="10">
        <v>7.5179915254239997</v>
      </c>
      <c r="O39" s="10">
        <v>28.813559322033999</v>
      </c>
      <c r="P39" s="10">
        <v>2064.9969915253978</v>
      </c>
      <c r="Q39" s="4">
        <v>0.86041541313600001</v>
      </c>
      <c r="R39" s="7">
        <v>-335.00300847460198</v>
      </c>
    </row>
    <row r="42" spans="1:18" ht="13.2">
      <c r="A42" s="20" t="s">
        <v>111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4" spans="1:18" ht="13.2">
      <c r="A44" s="1" t="s">
        <v>10</v>
      </c>
      <c r="B44" s="1" t="s">
        <v>110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33</v>
      </c>
      <c r="H44" s="1" t="s">
        <v>34</v>
      </c>
      <c r="I44" s="1" t="s">
        <v>35</v>
      </c>
      <c r="J44" s="1" t="s">
        <v>36</v>
      </c>
      <c r="K44" s="1" t="s">
        <v>37</v>
      </c>
      <c r="L44" s="1" t="s">
        <v>38</v>
      </c>
      <c r="M44" s="1" t="s">
        <v>39</v>
      </c>
      <c r="N44" s="1" t="s">
        <v>40</v>
      </c>
      <c r="O44" s="1" t="s">
        <v>47</v>
      </c>
    </row>
    <row r="45" spans="1:18" ht="13.2">
      <c r="A45" s="2" t="s">
        <v>15</v>
      </c>
      <c r="B45" s="2" t="s">
        <v>12</v>
      </c>
      <c r="C45" s="3">
        <v>842.19690034772998</v>
      </c>
      <c r="D45" s="3">
        <v>1731.2886278644601</v>
      </c>
      <c r="E45" s="3">
        <v>2651.9771450028402</v>
      </c>
      <c r="F45" s="3">
        <v>3564.3525647137599</v>
      </c>
      <c r="G45" s="3">
        <v>4437.9017634616002</v>
      </c>
      <c r="H45" s="3">
        <v>5374.9396699894614</v>
      </c>
      <c r="I45" s="3">
        <v>6252.6384376431906</v>
      </c>
      <c r="J45" s="3">
        <v>7142.3248488028503</v>
      </c>
      <c r="K45" s="3">
        <v>8010.1247170192701</v>
      </c>
      <c r="L45" s="3">
        <v>8855.7979460834504</v>
      </c>
      <c r="M45" s="3">
        <v>9709.5581359817807</v>
      </c>
      <c r="N45" s="3">
        <v>10627.065097208331</v>
      </c>
      <c r="O45" s="3">
        <v>10627.065097208331</v>
      </c>
    </row>
    <row r="46" spans="1:18" ht="13.2">
      <c r="A46" s="2"/>
      <c r="B46" s="2" t="s">
        <v>28</v>
      </c>
      <c r="C46" s="3">
        <v>310</v>
      </c>
      <c r="D46" s="3">
        <v>359</v>
      </c>
      <c r="E46" s="3">
        <v>610</v>
      </c>
      <c r="F46" s="3">
        <v>938</v>
      </c>
      <c r="G46" s="3">
        <v>1180</v>
      </c>
      <c r="H46" s="3">
        <v>1845</v>
      </c>
      <c r="I46" s="3">
        <v>1963.9133999999999</v>
      </c>
      <c r="J46" s="3">
        <v>2040.9133999999999</v>
      </c>
      <c r="K46" s="3">
        <v>2642.9133999999999</v>
      </c>
      <c r="L46" s="3">
        <v>2809.9133999999999</v>
      </c>
      <c r="M46" s="3">
        <v>2899.9133999999999</v>
      </c>
      <c r="N46" s="3">
        <v>2961.9133999999999</v>
      </c>
      <c r="O46" s="3">
        <v>2961.9133999999999</v>
      </c>
    </row>
    <row r="47" spans="1:18" ht="13.2">
      <c r="A47" s="2"/>
      <c r="B47" s="9" t="s">
        <v>6</v>
      </c>
      <c r="C47" s="10">
        <v>310</v>
      </c>
      <c r="D47" s="10">
        <v>359</v>
      </c>
      <c r="E47" s="10">
        <v>611</v>
      </c>
      <c r="F47" s="10">
        <v>939</v>
      </c>
      <c r="G47" s="10">
        <v>1181</v>
      </c>
      <c r="H47" s="10">
        <v>1846</v>
      </c>
      <c r="I47" s="10">
        <v>1964.9133999999999</v>
      </c>
      <c r="J47" s="10">
        <v>2041.9133999999999</v>
      </c>
      <c r="K47" s="10">
        <v>2699.9133999999999</v>
      </c>
      <c r="L47" s="10">
        <v>2919.9133999999999</v>
      </c>
      <c r="M47" s="10">
        <v>3164.9133999999999</v>
      </c>
      <c r="N47" s="10">
        <v>3232.9133999999999</v>
      </c>
      <c r="O47" s="10">
        <v>3232.9133999999999</v>
      </c>
    </row>
    <row r="48" spans="1:18" ht="13.2">
      <c r="A48" s="2" t="s">
        <v>17</v>
      </c>
      <c r="B48" s="2" t="s">
        <v>12</v>
      </c>
      <c r="C48" s="3">
        <v>2880</v>
      </c>
      <c r="D48" s="3">
        <v>5670</v>
      </c>
      <c r="E48" s="3">
        <v>9340</v>
      </c>
      <c r="F48" s="3">
        <v>16230</v>
      </c>
      <c r="G48" s="3">
        <v>20070</v>
      </c>
      <c r="H48" s="3">
        <v>24120</v>
      </c>
      <c r="I48" s="3">
        <v>26660</v>
      </c>
      <c r="J48" s="3">
        <v>28050</v>
      </c>
      <c r="K48" s="3">
        <v>32240</v>
      </c>
      <c r="L48" s="3">
        <v>35360</v>
      </c>
      <c r="M48" s="3">
        <v>38650</v>
      </c>
      <c r="N48" s="3">
        <v>40915</v>
      </c>
      <c r="O48" s="3">
        <v>40915</v>
      </c>
    </row>
    <row r="49" spans="1:18" ht="13.2">
      <c r="A49" s="2"/>
      <c r="B49" s="2" t="s">
        <v>28</v>
      </c>
      <c r="C49" s="3">
        <v>1659</v>
      </c>
      <c r="D49" s="3">
        <v>2732</v>
      </c>
      <c r="E49" s="3">
        <v>7349</v>
      </c>
      <c r="F49" s="3">
        <v>15117</v>
      </c>
      <c r="G49" s="3">
        <v>18013</v>
      </c>
      <c r="H49" s="3">
        <v>21154</v>
      </c>
      <c r="I49" s="3">
        <v>23103.699487499998</v>
      </c>
      <c r="J49" s="3">
        <v>24376.397532499999</v>
      </c>
      <c r="K49" s="3">
        <v>28200.397532499999</v>
      </c>
      <c r="L49" s="3">
        <v>30118.397532499999</v>
      </c>
      <c r="M49" s="3">
        <v>32008.397532499999</v>
      </c>
      <c r="N49" s="3">
        <v>32402.397532499999</v>
      </c>
      <c r="O49" s="3">
        <v>32402.397532499999</v>
      </c>
    </row>
    <row r="50" spans="1:18" ht="13.2">
      <c r="A50" s="2"/>
      <c r="B50" s="9" t="s">
        <v>6</v>
      </c>
      <c r="C50" s="10">
        <v>1659</v>
      </c>
      <c r="D50" s="10">
        <v>2732</v>
      </c>
      <c r="E50" s="10">
        <v>7349</v>
      </c>
      <c r="F50" s="10">
        <v>15117</v>
      </c>
      <c r="G50" s="10">
        <v>18013</v>
      </c>
      <c r="H50" s="10">
        <v>21154</v>
      </c>
      <c r="I50" s="10">
        <v>23103.699487499998</v>
      </c>
      <c r="J50" s="10">
        <v>24381.397532499999</v>
      </c>
      <c r="K50" s="10">
        <v>28220.397532499999</v>
      </c>
      <c r="L50" s="10">
        <v>30316.397532499999</v>
      </c>
      <c r="M50" s="10">
        <v>32602.397532499999</v>
      </c>
      <c r="N50" s="10">
        <v>33681.397532499999</v>
      </c>
      <c r="O50" s="10">
        <v>33681.397532499999</v>
      </c>
    </row>
    <row r="51" spans="1:18" ht="13.2">
      <c r="A51" s="2" t="s">
        <v>21</v>
      </c>
      <c r="B51" s="2" t="s">
        <v>12</v>
      </c>
      <c r="C51" s="3">
        <v>2852.2912197712499</v>
      </c>
      <c r="D51" s="3">
        <v>5975.6933771924096</v>
      </c>
      <c r="E51" s="3">
        <v>9249.6514985874601</v>
      </c>
      <c r="F51" s="3">
        <v>12820.168507868701</v>
      </c>
      <c r="G51" s="3">
        <v>15677.004933885481</v>
      </c>
      <c r="H51" s="3">
        <v>18204.945305084671</v>
      </c>
      <c r="I51" s="3">
        <v>21290.009987326572</v>
      </c>
      <c r="J51" s="3">
        <v>24134.825604529571</v>
      </c>
      <c r="K51" s="3">
        <v>27342.67704594932</v>
      </c>
      <c r="L51" s="3">
        <v>30420.305157695231</v>
      </c>
      <c r="M51" s="3">
        <v>33211.752619740619</v>
      </c>
      <c r="N51" s="3">
        <v>35468.134146891738</v>
      </c>
      <c r="O51" s="3">
        <v>35468.134146891738</v>
      </c>
    </row>
    <row r="52" spans="1:18" ht="13.2">
      <c r="A52" s="2"/>
      <c r="B52" s="2" t="s">
        <v>28</v>
      </c>
      <c r="C52" s="3">
        <v>2538.5723559322032</v>
      </c>
      <c r="D52" s="3">
        <v>5141.8565762711914</v>
      </c>
      <c r="E52" s="3">
        <v>7289.015881355941</v>
      </c>
      <c r="F52" s="3">
        <v>10510.51936440678</v>
      </c>
      <c r="G52" s="3">
        <v>12792.072415254241</v>
      </c>
      <c r="H52" s="3">
        <v>15709.083669491531</v>
      </c>
      <c r="I52" s="3">
        <v>19038.935503362489</v>
      </c>
      <c r="J52" s="3">
        <v>21847.897062859338</v>
      </c>
      <c r="K52" s="3">
        <v>26198.953592259397</v>
      </c>
      <c r="L52" s="3">
        <v>29922.386832150449</v>
      </c>
      <c r="M52" s="3">
        <v>32460.247750064511</v>
      </c>
      <c r="N52" s="3">
        <v>34752.009219044834</v>
      </c>
      <c r="O52" s="3">
        <v>34752.009219044834</v>
      </c>
    </row>
    <row r="53" spans="1:18" ht="13.2">
      <c r="A53" s="2"/>
      <c r="B53" s="9" t="s">
        <v>6</v>
      </c>
      <c r="C53" s="10">
        <v>2538.5723559322032</v>
      </c>
      <c r="D53" s="10">
        <v>5141.8565762711914</v>
      </c>
      <c r="E53" s="10">
        <v>7289.015881355941</v>
      </c>
      <c r="F53" s="10">
        <v>10510.51936440678</v>
      </c>
      <c r="G53" s="10">
        <v>12792.072415254241</v>
      </c>
      <c r="H53" s="10">
        <v>15709.083669491531</v>
      </c>
      <c r="I53" s="10">
        <v>19038.935503362489</v>
      </c>
      <c r="J53" s="10">
        <v>21847.897062859338</v>
      </c>
      <c r="K53" s="10">
        <v>26198.953592259397</v>
      </c>
      <c r="L53" s="10">
        <v>30061.386832150449</v>
      </c>
      <c r="M53" s="10">
        <v>32636.247750064511</v>
      </c>
      <c r="N53" s="10">
        <v>35048.009219044834</v>
      </c>
      <c r="O53" s="10">
        <v>35048.009219044834</v>
      </c>
    </row>
    <row r="56" spans="1:18" ht="13.2">
      <c r="A56" s="20" t="s">
        <v>112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8" spans="1:18" ht="13.2">
      <c r="A58" s="5" t="s">
        <v>10</v>
      </c>
      <c r="B58" s="22" t="s">
        <v>15</v>
      </c>
      <c r="C58" s="14"/>
      <c r="D58" s="14"/>
      <c r="E58" s="15" t="s">
        <v>113</v>
      </c>
      <c r="F58" s="14"/>
      <c r="G58" s="14"/>
      <c r="H58" s="14"/>
      <c r="J58" s="5" t="s">
        <v>11</v>
      </c>
      <c r="K58" s="22" t="s">
        <v>42</v>
      </c>
      <c r="L58" s="14"/>
      <c r="M58" s="14"/>
      <c r="N58" s="15" t="s">
        <v>114</v>
      </c>
      <c r="O58" s="14"/>
      <c r="P58" s="14"/>
      <c r="Q58" s="14"/>
      <c r="R58" s="14"/>
    </row>
  </sheetData>
  <autoFilter ref="A7:R39" xr:uid="{00000000-0009-0000-0000-000003000000}"/>
  <mergeCells count="10">
    <mergeCell ref="A56:R56"/>
    <mergeCell ref="B58:D58"/>
    <mergeCell ref="K58:M58"/>
    <mergeCell ref="E58:H58"/>
    <mergeCell ref="N58:R58"/>
    <mergeCell ref="A1:R2"/>
    <mergeCell ref="A3:R3"/>
    <mergeCell ref="A5:R5"/>
    <mergeCell ref="A6:R6"/>
    <mergeCell ref="A42:O42"/>
  </mergeCells>
  <phoneticPr fontId="11" type="noConversion"/>
  <dataValidations count="2">
    <dataValidation type="list" showInputMessage="1" showErrorMessage="1" errorTitle="Invalid selection" error="Select a value from the dropdown list." promptTitle="Region view" prompt="Select the region shown in the cumulative chart." sqref="B58" xr:uid="{00000000-0002-0000-0300-000000000000}">
      <formula1>"Asia,Europe,Americas"</formula1>
    </dataValidation>
    <dataValidation type="list" showInputMessage="1" showErrorMessage="1" errorTitle="Invalid selection" error="Select a value from the dropdown list." promptTitle="Business Unit view" prompt="Select the Business Unit shown in the cumulative chart." sqref="K58" xr:uid="{00000000-0002-0000-0300-000001000000}">
      <formula1>"PDA,PDE,PDP,PSG,PUS,DMX,DBR,FFLEX"</formula1>
    </dataValidation>
  </dataValidations>
  <pageMargins left="0.35" right="0.35" top="0.55000000000000004" bottom="0.55000000000000004" header="0.2" footer="0.2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5"/>
  <sheetViews>
    <sheetView showGridLines="0" workbookViewId="0"/>
  </sheetViews>
  <sheetFormatPr defaultRowHeight="13.8"/>
  <sheetData>
    <row r="1" spans="1:39" ht="24">
      <c r="A1" s="1" t="s">
        <v>10</v>
      </c>
      <c r="B1" s="1" t="s">
        <v>110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P1" s="1" t="s">
        <v>11</v>
      </c>
      <c r="Q1" s="1" t="s">
        <v>110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E1" s="1" t="s">
        <v>27</v>
      </c>
      <c r="AF1" s="1" t="s">
        <v>12</v>
      </c>
      <c r="AG1" s="1" t="s">
        <v>28</v>
      </c>
      <c r="AH1" s="1" t="s">
        <v>6</v>
      </c>
      <c r="AJ1" s="1" t="s">
        <v>27</v>
      </c>
      <c r="AK1" s="1" t="s">
        <v>12</v>
      </c>
      <c r="AL1" s="1" t="s">
        <v>28</v>
      </c>
      <c r="AM1" s="1" t="s">
        <v>6</v>
      </c>
    </row>
    <row r="2" spans="1:39" ht="13.2">
      <c r="A2" s="2" t="s">
        <v>15</v>
      </c>
      <c r="B2" s="2" t="s">
        <v>12</v>
      </c>
      <c r="C2" s="3">
        <v>842.19690034772998</v>
      </c>
      <c r="D2" s="3">
        <v>1731.2886278644601</v>
      </c>
      <c r="E2" s="3">
        <v>2651.9771450028402</v>
      </c>
      <c r="F2" s="3">
        <v>3564.3525647137599</v>
      </c>
      <c r="G2" s="3">
        <v>4437.9017634616002</v>
      </c>
      <c r="H2" s="3">
        <v>5374.9396699894614</v>
      </c>
      <c r="I2" s="3">
        <v>6252.6384376431906</v>
      </c>
      <c r="J2" s="3">
        <v>7142.3248488028503</v>
      </c>
      <c r="K2" s="3">
        <v>8010.1247170192701</v>
      </c>
      <c r="L2" s="3">
        <v>8855.7979460834504</v>
      </c>
      <c r="M2" s="3">
        <v>9709.5581359817807</v>
      </c>
      <c r="N2" s="3">
        <v>10627.065097208331</v>
      </c>
      <c r="P2" s="2" t="s">
        <v>42</v>
      </c>
      <c r="Q2" s="2" t="s">
        <v>12</v>
      </c>
      <c r="R2" s="3">
        <v>842.19690034772998</v>
      </c>
      <c r="S2" s="3">
        <v>1731.2886278644601</v>
      </c>
      <c r="T2" s="3">
        <v>2651.9771450028402</v>
      </c>
      <c r="U2" s="3">
        <v>3564.3525647137599</v>
      </c>
      <c r="V2" s="3">
        <v>4437.9017634616002</v>
      </c>
      <c r="W2" s="3">
        <v>5374.9396699894614</v>
      </c>
      <c r="X2" s="3">
        <v>6252.6384376431906</v>
      </c>
      <c r="Y2" s="3">
        <v>7142.3248488028503</v>
      </c>
      <c r="Z2" s="3">
        <v>8010.1247170192701</v>
      </c>
      <c r="AA2" s="3">
        <v>8855.7979460834504</v>
      </c>
      <c r="AB2" s="3">
        <v>9709.5581359817807</v>
      </c>
      <c r="AC2" s="3">
        <v>10627.065097208331</v>
      </c>
      <c r="AE2" s="2" t="s">
        <v>29</v>
      </c>
      <c r="AF2" s="3">
        <f>SUMIFS($C$2:$C$10,$A$2:$A$10,'Budget Recap'!$B$58,$B$2:$B$10,AF$1)</f>
        <v>842.19690034772998</v>
      </c>
      <c r="AG2" s="3">
        <f>SUMIFS($C$2:$C$10,$A$2:$A$10,'Budget Recap'!$B$58,$B$2:$B$10,AG$1)</f>
        <v>310</v>
      </c>
      <c r="AH2" s="3">
        <f>SUMIFS($C$2:$C$10,$A$2:$A$10,'Budget Recap'!$B$58,$B$2:$B$10,AH$1)</f>
        <v>310</v>
      </c>
      <c r="AJ2" s="2" t="s">
        <v>29</v>
      </c>
      <c r="AK2" s="3">
        <f>SUMIFS($R$2:$R$25,$P$2:$P$25,'Budget Recap'!$K$58,$Q$2:$Q$25,AK$1)</f>
        <v>842.19690034772998</v>
      </c>
      <c r="AL2" s="3">
        <f>SUMIFS($R$2:$R$25,$P$2:$P$25,'Budget Recap'!$K$58,$Q$2:$Q$25,AL$1)</f>
        <v>310</v>
      </c>
      <c r="AM2" s="3">
        <f>SUMIFS($R$2:$R$25,$P$2:$P$25,'Budget Recap'!$K$58,$Q$2:$Q$25,AM$1)</f>
        <v>310</v>
      </c>
    </row>
    <row r="3" spans="1:39" ht="13.2">
      <c r="A3" s="2" t="s">
        <v>15</v>
      </c>
      <c r="B3" s="2" t="s">
        <v>28</v>
      </c>
      <c r="C3" s="3">
        <v>310</v>
      </c>
      <c r="D3" s="3">
        <v>359</v>
      </c>
      <c r="E3" s="3">
        <v>610</v>
      </c>
      <c r="F3" s="3">
        <v>938</v>
      </c>
      <c r="G3" s="3">
        <v>1180</v>
      </c>
      <c r="H3" s="3">
        <v>1845</v>
      </c>
      <c r="I3" s="3">
        <v>1963.9133999999999</v>
      </c>
      <c r="J3" s="3">
        <v>2040.9133999999999</v>
      </c>
      <c r="K3" s="3">
        <v>2642.9133999999999</v>
      </c>
      <c r="L3" s="3">
        <v>2809.9133999999999</v>
      </c>
      <c r="M3" s="3">
        <v>2899.9133999999999</v>
      </c>
      <c r="N3" s="3">
        <v>2961.9133999999999</v>
      </c>
      <c r="P3" s="2" t="s">
        <v>42</v>
      </c>
      <c r="Q3" s="2" t="s">
        <v>28</v>
      </c>
      <c r="R3" s="3">
        <v>310</v>
      </c>
      <c r="S3" s="3">
        <v>359</v>
      </c>
      <c r="T3" s="3">
        <v>610</v>
      </c>
      <c r="U3" s="3">
        <v>938</v>
      </c>
      <c r="V3" s="3">
        <v>1180</v>
      </c>
      <c r="W3" s="3">
        <v>1845</v>
      </c>
      <c r="X3" s="3">
        <v>1963.9133999999999</v>
      </c>
      <c r="Y3" s="3">
        <v>2040.9133999999999</v>
      </c>
      <c r="Z3" s="3">
        <v>2642.9133999999999</v>
      </c>
      <c r="AA3" s="3">
        <v>2809.9133999999999</v>
      </c>
      <c r="AB3" s="3">
        <v>2899.9133999999999</v>
      </c>
      <c r="AC3" s="3">
        <v>2961.9133999999999</v>
      </c>
      <c r="AE3" s="2" t="s">
        <v>30</v>
      </c>
      <c r="AF3" s="3">
        <f>SUMIFS($D$2:$D$10,$A$2:$A$10,'Budget Recap'!$B$58,$B$2:$B$10,AF$1)</f>
        <v>1731.2886278644601</v>
      </c>
      <c r="AG3" s="3">
        <f>SUMIFS($D$2:$D$10,$A$2:$A$10,'Budget Recap'!$B$58,$B$2:$B$10,AG$1)</f>
        <v>359</v>
      </c>
      <c r="AH3" s="3">
        <f>SUMIFS($D$2:$D$10,$A$2:$A$10,'Budget Recap'!$B$58,$B$2:$B$10,AH$1)</f>
        <v>359</v>
      </c>
      <c r="AJ3" s="2" t="s">
        <v>30</v>
      </c>
      <c r="AK3" s="3">
        <f>SUMIFS($S$2:$S$25,$P$2:$P$25,'Budget Recap'!$K$58,$Q$2:$Q$25,AK$1)</f>
        <v>1731.2886278644601</v>
      </c>
      <c r="AL3" s="3">
        <f>SUMIFS($S$2:$S$25,$P$2:$P$25,'Budget Recap'!$K$58,$Q$2:$Q$25,AL$1)</f>
        <v>359</v>
      </c>
      <c r="AM3" s="3">
        <f>SUMIFS($S$2:$S$25,$P$2:$P$25,'Budget Recap'!$K$58,$Q$2:$Q$25,AM$1)</f>
        <v>359</v>
      </c>
    </row>
    <row r="4" spans="1:39" ht="13.2">
      <c r="A4" s="2" t="s">
        <v>15</v>
      </c>
      <c r="B4" s="2" t="s">
        <v>6</v>
      </c>
      <c r="C4" s="3">
        <v>310</v>
      </c>
      <c r="D4" s="3">
        <v>359</v>
      </c>
      <c r="E4" s="3">
        <v>611</v>
      </c>
      <c r="F4" s="3">
        <v>939</v>
      </c>
      <c r="G4" s="3">
        <v>1181</v>
      </c>
      <c r="H4" s="3">
        <v>1846</v>
      </c>
      <c r="I4" s="3">
        <v>1964.9133999999999</v>
      </c>
      <c r="J4" s="3">
        <v>2041.9133999999999</v>
      </c>
      <c r="K4" s="3">
        <v>2699.9133999999999</v>
      </c>
      <c r="L4" s="3">
        <v>2919.9133999999999</v>
      </c>
      <c r="M4" s="3">
        <v>3164.9133999999999</v>
      </c>
      <c r="N4" s="3">
        <v>3232.9133999999999</v>
      </c>
      <c r="P4" s="2" t="s">
        <v>42</v>
      </c>
      <c r="Q4" s="2" t="s">
        <v>6</v>
      </c>
      <c r="R4" s="3">
        <v>310</v>
      </c>
      <c r="S4" s="3">
        <v>359</v>
      </c>
      <c r="T4" s="3">
        <v>611</v>
      </c>
      <c r="U4" s="3">
        <v>939</v>
      </c>
      <c r="V4" s="3">
        <v>1181</v>
      </c>
      <c r="W4" s="3">
        <v>1846</v>
      </c>
      <c r="X4" s="3">
        <v>1964.9133999999999</v>
      </c>
      <c r="Y4" s="3">
        <v>2041.9133999999999</v>
      </c>
      <c r="Z4" s="3">
        <v>2699.9133999999999</v>
      </c>
      <c r="AA4" s="3">
        <v>2919.9133999999999</v>
      </c>
      <c r="AB4" s="3">
        <v>3164.9133999999999</v>
      </c>
      <c r="AC4" s="3">
        <v>3232.9133999999999</v>
      </c>
      <c r="AE4" s="2" t="s">
        <v>31</v>
      </c>
      <c r="AF4" s="3">
        <f>SUMIFS($E$2:$E$10,$A$2:$A$10,'Budget Recap'!$B$58,$B$2:$B$10,AF$1)</f>
        <v>2651.9771450028402</v>
      </c>
      <c r="AG4" s="3">
        <f>SUMIFS($E$2:$E$10,$A$2:$A$10,'Budget Recap'!$B$58,$B$2:$B$10,AG$1)</f>
        <v>610</v>
      </c>
      <c r="AH4" s="3">
        <f>SUMIFS($E$2:$E$10,$A$2:$A$10,'Budget Recap'!$B$58,$B$2:$B$10,AH$1)</f>
        <v>611</v>
      </c>
      <c r="AJ4" s="2" t="s">
        <v>31</v>
      </c>
      <c r="AK4" s="3">
        <f>SUMIFS($T$2:$T$25,$P$2:$P$25,'Budget Recap'!$K$58,$Q$2:$Q$25,AK$1)</f>
        <v>2651.9771450028402</v>
      </c>
      <c r="AL4" s="3">
        <f>SUMIFS($T$2:$T$25,$P$2:$P$25,'Budget Recap'!$K$58,$Q$2:$Q$25,AL$1)</f>
        <v>610</v>
      </c>
      <c r="AM4" s="3">
        <f>SUMIFS($T$2:$T$25,$P$2:$P$25,'Budget Recap'!$K$58,$Q$2:$Q$25,AM$1)</f>
        <v>611</v>
      </c>
    </row>
    <row r="5" spans="1:39" ht="13.2">
      <c r="A5" s="2" t="s">
        <v>17</v>
      </c>
      <c r="B5" s="2" t="s">
        <v>12</v>
      </c>
      <c r="C5" s="3">
        <v>2880</v>
      </c>
      <c r="D5" s="3">
        <v>5670</v>
      </c>
      <c r="E5" s="3">
        <v>9340</v>
      </c>
      <c r="F5" s="3">
        <v>16230</v>
      </c>
      <c r="G5" s="3">
        <v>20070</v>
      </c>
      <c r="H5" s="3">
        <v>24120</v>
      </c>
      <c r="I5" s="3">
        <v>26660</v>
      </c>
      <c r="J5" s="3">
        <v>28050</v>
      </c>
      <c r="K5" s="3">
        <v>32240</v>
      </c>
      <c r="L5" s="3">
        <v>35360</v>
      </c>
      <c r="M5" s="3">
        <v>38650</v>
      </c>
      <c r="N5" s="3">
        <v>40915</v>
      </c>
      <c r="P5" s="2" t="s">
        <v>92</v>
      </c>
      <c r="Q5" s="2" t="s">
        <v>12</v>
      </c>
      <c r="R5" s="3">
        <v>1610</v>
      </c>
      <c r="S5" s="3">
        <v>2860</v>
      </c>
      <c r="T5" s="3">
        <v>4765</v>
      </c>
      <c r="U5" s="3">
        <v>9875</v>
      </c>
      <c r="V5" s="3">
        <v>11825</v>
      </c>
      <c r="W5" s="3">
        <v>14425</v>
      </c>
      <c r="X5" s="3">
        <v>15785</v>
      </c>
      <c r="Y5" s="3">
        <v>16885</v>
      </c>
      <c r="Z5" s="3">
        <v>19185</v>
      </c>
      <c r="AA5" s="3">
        <v>20435</v>
      </c>
      <c r="AB5" s="3">
        <v>22915</v>
      </c>
      <c r="AC5" s="3">
        <v>24915</v>
      </c>
      <c r="AE5" s="2" t="s">
        <v>32</v>
      </c>
      <c r="AF5" s="3">
        <f>SUMIFS($F$2:$F$10,$A$2:$A$10,'Budget Recap'!$B$58,$B$2:$B$10,AF$1)</f>
        <v>3564.3525647137599</v>
      </c>
      <c r="AG5" s="3">
        <f>SUMIFS($F$2:$F$10,$A$2:$A$10,'Budget Recap'!$B$58,$B$2:$B$10,AG$1)</f>
        <v>938</v>
      </c>
      <c r="AH5" s="3">
        <f>SUMIFS($F$2:$F$10,$A$2:$A$10,'Budget Recap'!$B$58,$B$2:$B$10,AH$1)</f>
        <v>939</v>
      </c>
      <c r="AJ5" s="2" t="s">
        <v>32</v>
      </c>
      <c r="AK5" s="3">
        <f>SUMIFS($U$2:$U$25,$P$2:$P$25,'Budget Recap'!$K$58,$Q$2:$Q$25,AK$1)</f>
        <v>3564.3525647137599</v>
      </c>
      <c r="AL5" s="3">
        <f>SUMIFS($U$2:$U$25,$P$2:$P$25,'Budget Recap'!$K$58,$Q$2:$Q$25,AL$1)</f>
        <v>938</v>
      </c>
      <c r="AM5" s="3">
        <f>SUMIFS($U$2:$U$25,$P$2:$P$25,'Budget Recap'!$K$58,$Q$2:$Q$25,AM$1)</f>
        <v>939</v>
      </c>
    </row>
    <row r="6" spans="1:39" ht="13.2">
      <c r="A6" s="2" t="s">
        <v>17</v>
      </c>
      <c r="B6" s="2" t="s">
        <v>28</v>
      </c>
      <c r="C6" s="3">
        <v>1659</v>
      </c>
      <c r="D6" s="3">
        <v>2732</v>
      </c>
      <c r="E6" s="3">
        <v>7349</v>
      </c>
      <c r="F6" s="3">
        <v>15117</v>
      </c>
      <c r="G6" s="3">
        <v>18013</v>
      </c>
      <c r="H6" s="3">
        <v>21154</v>
      </c>
      <c r="I6" s="3">
        <v>23103.699487499998</v>
      </c>
      <c r="J6" s="3">
        <v>24376.397532499999</v>
      </c>
      <c r="K6" s="3">
        <v>28200.397532499999</v>
      </c>
      <c r="L6" s="3">
        <v>30118.397532499999</v>
      </c>
      <c r="M6" s="3">
        <v>32008.397532499999</v>
      </c>
      <c r="N6" s="3">
        <v>32402.397532499999</v>
      </c>
      <c r="P6" s="2" t="s">
        <v>92</v>
      </c>
      <c r="Q6" s="2" t="s">
        <v>28</v>
      </c>
      <c r="R6" s="3">
        <v>1031</v>
      </c>
      <c r="S6" s="3">
        <v>1343</v>
      </c>
      <c r="T6" s="3">
        <v>4577</v>
      </c>
      <c r="U6" s="3">
        <v>10623</v>
      </c>
      <c r="V6" s="3">
        <v>12204</v>
      </c>
      <c r="W6" s="3">
        <v>14540</v>
      </c>
      <c r="X6" s="3">
        <v>15308.101955</v>
      </c>
      <c r="Y6" s="3">
        <v>15894</v>
      </c>
      <c r="Z6" s="3">
        <v>18350</v>
      </c>
      <c r="AA6" s="3">
        <v>19253</v>
      </c>
      <c r="AB6" s="3">
        <v>19988</v>
      </c>
      <c r="AC6" s="3">
        <v>20066</v>
      </c>
      <c r="AE6" s="2" t="s">
        <v>33</v>
      </c>
      <c r="AF6" s="3">
        <f>SUMIFS($G$2:$G$10,$A$2:$A$10,'Budget Recap'!$B$58,$B$2:$B$10,AF$1)</f>
        <v>4437.9017634616002</v>
      </c>
      <c r="AG6" s="3">
        <f>SUMIFS($G$2:$G$10,$A$2:$A$10,'Budget Recap'!$B$58,$B$2:$B$10,AG$1)</f>
        <v>1180</v>
      </c>
      <c r="AH6" s="3">
        <f>SUMIFS($G$2:$G$10,$A$2:$A$10,'Budget Recap'!$B$58,$B$2:$B$10,AH$1)</f>
        <v>1181</v>
      </c>
      <c r="AJ6" s="2" t="s">
        <v>33</v>
      </c>
      <c r="AK6" s="3">
        <f>SUMIFS($V$2:$V$25,$P$2:$P$25,'Budget Recap'!$K$58,$Q$2:$Q$25,AK$1)</f>
        <v>4437.9017634616002</v>
      </c>
      <c r="AL6" s="3">
        <f>SUMIFS($V$2:$V$25,$P$2:$P$25,'Budget Recap'!$K$58,$Q$2:$Q$25,AL$1)</f>
        <v>1180</v>
      </c>
      <c r="AM6" s="3">
        <f>SUMIFS($V$2:$V$25,$P$2:$P$25,'Budget Recap'!$K$58,$Q$2:$Q$25,AM$1)</f>
        <v>1181</v>
      </c>
    </row>
    <row r="7" spans="1:39" ht="13.2">
      <c r="A7" s="2" t="s">
        <v>17</v>
      </c>
      <c r="B7" s="2" t="s">
        <v>6</v>
      </c>
      <c r="C7" s="3">
        <v>1659</v>
      </c>
      <c r="D7" s="3">
        <v>2732</v>
      </c>
      <c r="E7" s="3">
        <v>7349</v>
      </c>
      <c r="F7" s="3">
        <v>15117</v>
      </c>
      <c r="G7" s="3">
        <v>18013</v>
      </c>
      <c r="H7" s="3">
        <v>21154</v>
      </c>
      <c r="I7" s="3">
        <v>23103.699487499998</v>
      </c>
      <c r="J7" s="3">
        <v>24381.397532499999</v>
      </c>
      <c r="K7" s="3">
        <v>28220.397532499999</v>
      </c>
      <c r="L7" s="3">
        <v>30316.397532499999</v>
      </c>
      <c r="M7" s="3">
        <v>32602.397532499999</v>
      </c>
      <c r="N7" s="3">
        <v>33681.397532499999</v>
      </c>
      <c r="P7" s="2" t="s">
        <v>92</v>
      </c>
      <c r="Q7" s="2" t="s">
        <v>6</v>
      </c>
      <c r="R7" s="3">
        <v>1031</v>
      </c>
      <c r="S7" s="3">
        <v>1343</v>
      </c>
      <c r="T7" s="3">
        <v>4577</v>
      </c>
      <c r="U7" s="3">
        <v>10623</v>
      </c>
      <c r="V7" s="3">
        <v>12204</v>
      </c>
      <c r="W7" s="3">
        <v>14540</v>
      </c>
      <c r="X7" s="3">
        <v>15308.101955</v>
      </c>
      <c r="Y7" s="3">
        <v>15899</v>
      </c>
      <c r="Z7" s="3">
        <v>18370</v>
      </c>
      <c r="AA7" s="3">
        <v>19313</v>
      </c>
      <c r="AB7" s="3">
        <v>20271</v>
      </c>
      <c r="AC7" s="3">
        <v>20859</v>
      </c>
      <c r="AE7" s="2" t="s">
        <v>34</v>
      </c>
      <c r="AF7" s="3">
        <f>SUMIFS($H$2:$H$10,$A$2:$A$10,'Budget Recap'!$B$58,$B$2:$B$10,AF$1)</f>
        <v>5374.9396699894614</v>
      </c>
      <c r="AG7" s="3">
        <f>SUMIFS($H$2:$H$10,$A$2:$A$10,'Budget Recap'!$B$58,$B$2:$B$10,AG$1)</f>
        <v>1845</v>
      </c>
      <c r="AH7" s="3">
        <f>SUMIFS($H$2:$H$10,$A$2:$A$10,'Budget Recap'!$B$58,$B$2:$B$10,AH$1)</f>
        <v>1846</v>
      </c>
      <c r="AJ7" s="2" t="s">
        <v>34</v>
      </c>
      <c r="AK7" s="3">
        <f>SUMIFS($W$2:$W$25,$P$2:$P$25,'Budget Recap'!$K$58,$Q$2:$Q$25,AK$1)</f>
        <v>5374.9396699894614</v>
      </c>
      <c r="AL7" s="3">
        <f>SUMIFS($W$2:$W$25,$P$2:$P$25,'Budget Recap'!$K$58,$Q$2:$Q$25,AL$1)</f>
        <v>1845</v>
      </c>
      <c r="AM7" s="3">
        <f>SUMIFS($W$2:$W$25,$P$2:$P$25,'Budget Recap'!$K$58,$Q$2:$Q$25,AM$1)</f>
        <v>1846</v>
      </c>
    </row>
    <row r="8" spans="1:39" ht="13.2">
      <c r="A8" s="2" t="s">
        <v>21</v>
      </c>
      <c r="B8" s="2" t="s">
        <v>12</v>
      </c>
      <c r="C8" s="3">
        <v>2852.2912197712499</v>
      </c>
      <c r="D8" s="3">
        <v>5975.6933771924096</v>
      </c>
      <c r="E8" s="3">
        <v>9249.6514985874601</v>
      </c>
      <c r="F8" s="3">
        <v>12820.168507868701</v>
      </c>
      <c r="G8" s="3">
        <v>15677.004933885481</v>
      </c>
      <c r="H8" s="3">
        <v>18204.945305084671</v>
      </c>
      <c r="I8" s="3">
        <v>21290.009987326572</v>
      </c>
      <c r="J8" s="3">
        <v>24134.825604529571</v>
      </c>
      <c r="K8" s="3">
        <v>27342.67704594932</v>
      </c>
      <c r="L8" s="3">
        <v>30420.305157695231</v>
      </c>
      <c r="M8" s="3">
        <v>33211.752619740619</v>
      </c>
      <c r="N8" s="3">
        <v>35468.134146891738</v>
      </c>
      <c r="P8" s="2" t="s">
        <v>94</v>
      </c>
      <c r="Q8" s="2" t="s">
        <v>12</v>
      </c>
      <c r="R8" s="3">
        <v>1200</v>
      </c>
      <c r="S8" s="3">
        <v>2550</v>
      </c>
      <c r="T8" s="3">
        <v>4100</v>
      </c>
      <c r="U8" s="3">
        <v>5750</v>
      </c>
      <c r="V8" s="3">
        <v>7500</v>
      </c>
      <c r="W8" s="3">
        <v>8850</v>
      </c>
      <c r="X8" s="3">
        <v>9950</v>
      </c>
      <c r="Y8" s="3">
        <v>10150</v>
      </c>
      <c r="Z8" s="3">
        <v>11850</v>
      </c>
      <c r="AA8" s="3">
        <v>13600</v>
      </c>
      <c r="AB8" s="3">
        <v>14300</v>
      </c>
      <c r="AC8" s="3">
        <v>14500</v>
      </c>
      <c r="AE8" s="2" t="s">
        <v>35</v>
      </c>
      <c r="AF8" s="3">
        <f>SUMIFS($I$2:$I$10,$A$2:$A$10,'Budget Recap'!$B$58,$B$2:$B$10,AF$1)</f>
        <v>6252.6384376431906</v>
      </c>
      <c r="AG8" s="3">
        <f>SUMIFS($I$2:$I$10,$A$2:$A$10,'Budget Recap'!$B$58,$B$2:$B$10,AG$1)</f>
        <v>1963.9133999999999</v>
      </c>
      <c r="AH8" s="3">
        <f>SUMIFS($I$2:$I$10,$A$2:$A$10,'Budget Recap'!$B$58,$B$2:$B$10,AH$1)</f>
        <v>1964.9133999999999</v>
      </c>
      <c r="AJ8" s="2" t="s">
        <v>35</v>
      </c>
      <c r="AK8" s="3">
        <f>SUMIFS($X$2:$X$25,$P$2:$P$25,'Budget Recap'!$K$58,$Q$2:$Q$25,AK$1)</f>
        <v>6252.6384376431906</v>
      </c>
      <c r="AL8" s="3">
        <f>SUMIFS($X$2:$X$25,$P$2:$P$25,'Budget Recap'!$K$58,$Q$2:$Q$25,AL$1)</f>
        <v>1963.9133999999999</v>
      </c>
      <c r="AM8" s="3">
        <f>SUMIFS($X$2:$X$25,$P$2:$P$25,'Budget Recap'!$K$58,$Q$2:$Q$25,AM$1)</f>
        <v>1964.9133999999999</v>
      </c>
    </row>
    <row r="9" spans="1:39" ht="13.2">
      <c r="A9" s="2" t="s">
        <v>21</v>
      </c>
      <c r="B9" s="2" t="s">
        <v>28</v>
      </c>
      <c r="C9" s="3">
        <v>2538.5723559322032</v>
      </c>
      <c r="D9" s="3">
        <v>5141.8565762711914</v>
      </c>
      <c r="E9" s="3">
        <v>7289.015881355941</v>
      </c>
      <c r="F9" s="3">
        <v>10510.51936440678</v>
      </c>
      <c r="G9" s="3">
        <v>12792.072415254241</v>
      </c>
      <c r="H9" s="3">
        <v>15709.083669491531</v>
      </c>
      <c r="I9" s="3">
        <v>19038.935503362489</v>
      </c>
      <c r="J9" s="3">
        <v>21847.897062859338</v>
      </c>
      <c r="K9" s="3">
        <v>26198.953592259397</v>
      </c>
      <c r="L9" s="3">
        <v>29922.386832150449</v>
      </c>
      <c r="M9" s="3">
        <v>32460.247750064511</v>
      </c>
      <c r="N9" s="3">
        <v>34752.009219044834</v>
      </c>
      <c r="P9" s="2" t="s">
        <v>94</v>
      </c>
      <c r="Q9" s="2" t="s">
        <v>28</v>
      </c>
      <c r="R9" s="3">
        <v>524</v>
      </c>
      <c r="S9" s="3">
        <v>1201</v>
      </c>
      <c r="T9" s="3">
        <v>2368</v>
      </c>
      <c r="U9" s="3">
        <v>3933</v>
      </c>
      <c r="V9" s="3">
        <v>5078</v>
      </c>
      <c r="W9" s="3">
        <v>5698</v>
      </c>
      <c r="X9" s="3">
        <v>6733.3975325000001</v>
      </c>
      <c r="Y9" s="3">
        <v>7258.3975325000001</v>
      </c>
      <c r="Z9" s="3">
        <v>8498.3975324999992</v>
      </c>
      <c r="AA9" s="3">
        <v>9393.3975324999992</v>
      </c>
      <c r="AB9" s="3">
        <v>10388.397532499999</v>
      </c>
      <c r="AC9" s="3">
        <v>10653.397532499999</v>
      </c>
      <c r="AE9" s="2" t="s">
        <v>36</v>
      </c>
      <c r="AF9" s="3">
        <f>SUMIFS($J$2:$J$10,$A$2:$A$10,'Budget Recap'!$B$58,$B$2:$B$10,AF$1)</f>
        <v>7142.3248488028503</v>
      </c>
      <c r="AG9" s="3">
        <f>SUMIFS($J$2:$J$10,$A$2:$A$10,'Budget Recap'!$B$58,$B$2:$B$10,AG$1)</f>
        <v>2040.9133999999999</v>
      </c>
      <c r="AH9" s="3">
        <f>SUMIFS($J$2:$J$10,$A$2:$A$10,'Budget Recap'!$B$58,$B$2:$B$10,AH$1)</f>
        <v>2041.9133999999999</v>
      </c>
      <c r="AJ9" s="2" t="s">
        <v>36</v>
      </c>
      <c r="AK9" s="3">
        <f>SUMIFS($Y$2:$Y$25,$P$2:$P$25,'Budget Recap'!$K$58,$Q$2:$Q$25,AK$1)</f>
        <v>7142.3248488028503</v>
      </c>
      <c r="AL9" s="3">
        <f>SUMIFS($Y$2:$Y$25,$P$2:$P$25,'Budget Recap'!$K$58,$Q$2:$Q$25,AL$1)</f>
        <v>2040.9133999999999</v>
      </c>
      <c r="AM9" s="3">
        <f>SUMIFS($Y$2:$Y$25,$P$2:$P$25,'Budget Recap'!$K$58,$Q$2:$Q$25,AM$1)</f>
        <v>2041.9133999999999</v>
      </c>
    </row>
    <row r="10" spans="1:39" ht="13.2">
      <c r="A10" s="2" t="s">
        <v>21</v>
      </c>
      <c r="B10" s="2" t="s">
        <v>6</v>
      </c>
      <c r="C10" s="3">
        <v>2538.5723559322032</v>
      </c>
      <c r="D10" s="3">
        <v>5141.8565762711914</v>
      </c>
      <c r="E10" s="3">
        <v>7289.015881355941</v>
      </c>
      <c r="F10" s="3">
        <v>10510.51936440678</v>
      </c>
      <c r="G10" s="3">
        <v>12792.072415254241</v>
      </c>
      <c r="H10" s="3">
        <v>15709.083669491531</v>
      </c>
      <c r="I10" s="3">
        <v>19038.935503362489</v>
      </c>
      <c r="J10" s="3">
        <v>21847.897062859338</v>
      </c>
      <c r="K10" s="3">
        <v>26198.953592259397</v>
      </c>
      <c r="L10" s="3">
        <v>30061.386832150449</v>
      </c>
      <c r="M10" s="3">
        <v>32636.247750064511</v>
      </c>
      <c r="N10" s="3">
        <v>35048.009219044834</v>
      </c>
      <c r="P10" s="2" t="s">
        <v>94</v>
      </c>
      <c r="Q10" s="2" t="s">
        <v>6</v>
      </c>
      <c r="R10" s="3">
        <v>524</v>
      </c>
      <c r="S10" s="3">
        <v>1201</v>
      </c>
      <c r="T10" s="3">
        <v>2368</v>
      </c>
      <c r="U10" s="3">
        <v>3933</v>
      </c>
      <c r="V10" s="3">
        <v>5078</v>
      </c>
      <c r="W10" s="3">
        <v>5698</v>
      </c>
      <c r="X10" s="3">
        <v>6733.3975325000001</v>
      </c>
      <c r="Y10" s="3">
        <v>7258.3975325000001</v>
      </c>
      <c r="Z10" s="3">
        <v>8498.3975324999992</v>
      </c>
      <c r="AA10" s="3">
        <v>9531.3975324999992</v>
      </c>
      <c r="AB10" s="3">
        <v>10699.397532499999</v>
      </c>
      <c r="AC10" s="3">
        <v>11139.397532499999</v>
      </c>
      <c r="AE10" s="2" t="s">
        <v>37</v>
      </c>
      <c r="AF10" s="3">
        <f>SUMIFS($K$2:$K$10,$A$2:$A$10,'Budget Recap'!$B$58,$B$2:$B$10,AF$1)</f>
        <v>8010.1247170192701</v>
      </c>
      <c r="AG10" s="3">
        <f>SUMIFS($K$2:$K$10,$A$2:$A$10,'Budget Recap'!$B$58,$B$2:$B$10,AG$1)</f>
        <v>2642.9133999999999</v>
      </c>
      <c r="AH10" s="3">
        <f>SUMIFS($K$2:$K$10,$A$2:$A$10,'Budget Recap'!$B$58,$B$2:$B$10,AH$1)</f>
        <v>2699.9133999999999</v>
      </c>
      <c r="AJ10" s="2" t="s">
        <v>37</v>
      </c>
      <c r="AK10" s="3">
        <f>SUMIFS($Z$2:$Z$25,$P$2:$P$25,'Budget Recap'!$K$58,$Q$2:$Q$25,AK$1)</f>
        <v>8010.1247170192701</v>
      </c>
      <c r="AL10" s="3">
        <f>SUMIFS($Z$2:$Z$25,$P$2:$P$25,'Budget Recap'!$K$58,$Q$2:$Q$25,AL$1)</f>
        <v>2642.9133999999999</v>
      </c>
      <c r="AM10" s="3">
        <f>SUMIFS($Z$2:$Z$25,$P$2:$P$25,'Budget Recap'!$K$58,$Q$2:$Q$25,AM$1)</f>
        <v>2699.9133999999999</v>
      </c>
    </row>
    <row r="11" spans="1:39" ht="13.2">
      <c r="P11" s="2" t="s">
        <v>96</v>
      </c>
      <c r="Q11" s="2" t="s">
        <v>12</v>
      </c>
      <c r="R11" s="3">
        <v>70</v>
      </c>
      <c r="S11" s="3">
        <v>260</v>
      </c>
      <c r="T11" s="3">
        <v>475</v>
      </c>
      <c r="U11" s="3">
        <v>605</v>
      </c>
      <c r="V11" s="3">
        <v>745</v>
      </c>
      <c r="W11" s="3">
        <v>845</v>
      </c>
      <c r="X11" s="3">
        <v>925</v>
      </c>
      <c r="Y11" s="3">
        <v>1015</v>
      </c>
      <c r="Z11" s="3">
        <v>1205</v>
      </c>
      <c r="AA11" s="3">
        <v>1325</v>
      </c>
      <c r="AB11" s="3">
        <v>1435</v>
      </c>
      <c r="AC11" s="3">
        <v>1500</v>
      </c>
      <c r="AE11" s="2" t="s">
        <v>38</v>
      </c>
      <c r="AF11" s="3">
        <f>SUMIFS($L$2:$L$10,$A$2:$A$10,'Budget Recap'!$B$58,$B$2:$B$10,AF$1)</f>
        <v>8855.7979460834504</v>
      </c>
      <c r="AG11" s="3">
        <f>SUMIFS($L$2:$L$10,$A$2:$A$10,'Budget Recap'!$B$58,$B$2:$B$10,AG$1)</f>
        <v>2809.9133999999999</v>
      </c>
      <c r="AH11" s="3">
        <f>SUMIFS($L$2:$L$10,$A$2:$A$10,'Budget Recap'!$B$58,$B$2:$B$10,AH$1)</f>
        <v>2919.9133999999999</v>
      </c>
      <c r="AJ11" s="2" t="s">
        <v>38</v>
      </c>
      <c r="AK11" s="3">
        <f>SUMIFS($AA$2:$AA$25,$P$2:$P$25,'Budget Recap'!$K$58,$Q$2:$Q$25,AK$1)</f>
        <v>8855.7979460834504</v>
      </c>
      <c r="AL11" s="3">
        <f>SUMIFS($AA$2:$AA$25,$P$2:$P$25,'Budget Recap'!$K$58,$Q$2:$Q$25,AL$1)</f>
        <v>2809.9133999999999</v>
      </c>
      <c r="AM11" s="3">
        <f>SUMIFS($AA$2:$AA$25,$P$2:$P$25,'Budget Recap'!$K$58,$Q$2:$Q$25,AM$1)</f>
        <v>2919.9133999999999</v>
      </c>
    </row>
    <row r="12" spans="1:39" ht="13.2">
      <c r="P12" s="2" t="s">
        <v>96</v>
      </c>
      <c r="Q12" s="2" t="s">
        <v>28</v>
      </c>
      <c r="R12" s="3">
        <v>104</v>
      </c>
      <c r="S12" s="3">
        <v>188</v>
      </c>
      <c r="T12" s="3">
        <v>404</v>
      </c>
      <c r="U12" s="3">
        <v>561</v>
      </c>
      <c r="V12" s="3">
        <v>731</v>
      </c>
      <c r="W12" s="3">
        <v>916</v>
      </c>
      <c r="X12" s="3">
        <v>1062.2</v>
      </c>
      <c r="Y12" s="3">
        <v>1224</v>
      </c>
      <c r="Z12" s="3">
        <v>1352</v>
      </c>
      <c r="AA12" s="3">
        <v>1472</v>
      </c>
      <c r="AB12" s="3">
        <v>1632</v>
      </c>
      <c r="AC12" s="3">
        <v>1683</v>
      </c>
      <c r="AE12" s="2" t="s">
        <v>39</v>
      </c>
      <c r="AF12" s="3">
        <f>SUMIFS($M$2:$M$10,$A$2:$A$10,'Budget Recap'!$B$58,$B$2:$B$10,AF$1)</f>
        <v>9709.5581359817807</v>
      </c>
      <c r="AG12" s="3">
        <f>SUMIFS($M$2:$M$10,$A$2:$A$10,'Budget Recap'!$B$58,$B$2:$B$10,AG$1)</f>
        <v>2899.9133999999999</v>
      </c>
      <c r="AH12" s="3">
        <f>SUMIFS($M$2:$M$10,$A$2:$A$10,'Budget Recap'!$B$58,$B$2:$B$10,AH$1)</f>
        <v>3164.9133999999999</v>
      </c>
      <c r="AJ12" s="2" t="s">
        <v>39</v>
      </c>
      <c r="AK12" s="3">
        <f>SUMIFS($AB$2:$AB$25,$P$2:$P$25,'Budget Recap'!$K$58,$Q$2:$Q$25,AK$1)</f>
        <v>9709.5581359817807</v>
      </c>
      <c r="AL12" s="3">
        <f>SUMIFS($AB$2:$AB$25,$P$2:$P$25,'Budget Recap'!$K$58,$Q$2:$Q$25,AL$1)</f>
        <v>2899.9133999999999</v>
      </c>
      <c r="AM12" s="3">
        <f>SUMIFS($AB$2:$AB$25,$P$2:$P$25,'Budget Recap'!$K$58,$Q$2:$Q$25,AM$1)</f>
        <v>3164.9133999999999</v>
      </c>
    </row>
    <row r="13" spans="1:39" ht="13.2">
      <c r="P13" s="2" t="s">
        <v>96</v>
      </c>
      <c r="Q13" s="2" t="s">
        <v>6</v>
      </c>
      <c r="R13" s="3">
        <v>104</v>
      </c>
      <c r="S13" s="3">
        <v>188</v>
      </c>
      <c r="T13" s="3">
        <v>404</v>
      </c>
      <c r="U13" s="3">
        <v>561</v>
      </c>
      <c r="V13" s="3">
        <v>731</v>
      </c>
      <c r="W13" s="3">
        <v>916</v>
      </c>
      <c r="X13" s="3">
        <v>1062.2</v>
      </c>
      <c r="Y13" s="3">
        <v>1224</v>
      </c>
      <c r="Z13" s="3">
        <v>1352</v>
      </c>
      <c r="AA13" s="3">
        <v>1472</v>
      </c>
      <c r="AB13" s="3">
        <v>1632</v>
      </c>
      <c r="AC13" s="3">
        <v>1683</v>
      </c>
      <c r="AE13" s="2" t="s">
        <v>40</v>
      </c>
      <c r="AF13" s="3">
        <f>SUMIFS($N$2:$N$10,$A$2:$A$10,'Budget Recap'!$B$58,$B$2:$B$10,AF$1)</f>
        <v>10627.065097208331</v>
      </c>
      <c r="AG13" s="3">
        <f>SUMIFS($N$2:$N$10,$A$2:$A$10,'Budget Recap'!$B$58,$B$2:$B$10,AG$1)</f>
        <v>2961.9133999999999</v>
      </c>
      <c r="AH13" s="3">
        <f>SUMIFS($N$2:$N$10,$A$2:$A$10,'Budget Recap'!$B$58,$B$2:$B$10,AH$1)</f>
        <v>3232.9133999999999</v>
      </c>
      <c r="AJ13" s="2" t="s">
        <v>40</v>
      </c>
      <c r="AK13" s="3">
        <f>SUMIFS($AC$2:$AC$25,$P$2:$P$25,'Budget Recap'!$K$58,$Q$2:$Q$25,AK$1)</f>
        <v>10627.065097208331</v>
      </c>
      <c r="AL13" s="3">
        <f>SUMIFS($AC$2:$AC$25,$P$2:$P$25,'Budget Recap'!$K$58,$Q$2:$Q$25,AL$1)</f>
        <v>2961.9133999999999</v>
      </c>
      <c r="AM13" s="3">
        <f>SUMIFS($AC$2:$AC$25,$P$2:$P$25,'Budget Recap'!$K$58,$Q$2:$Q$25,AM$1)</f>
        <v>3232.9133999999999</v>
      </c>
    </row>
    <row r="14" spans="1:39" ht="13.2">
      <c r="P14" s="2" t="s">
        <v>99</v>
      </c>
      <c r="Q14" s="2" t="s">
        <v>12</v>
      </c>
      <c r="R14" s="3">
        <v>542.90126435672005</v>
      </c>
      <c r="S14" s="3">
        <v>1163.35985219298</v>
      </c>
      <c r="T14" s="3">
        <v>1706.2611165497001</v>
      </c>
      <c r="U14" s="3">
        <v>2223.3099397465799</v>
      </c>
      <c r="V14" s="3">
        <v>2723.1238021702302</v>
      </c>
      <c r="W14" s="3">
        <v>3257.4075861403298</v>
      </c>
      <c r="X14" s="3">
        <v>3757.2214485639802</v>
      </c>
      <c r="Y14" s="3">
        <v>4274.2702717608599</v>
      </c>
      <c r="Z14" s="3">
        <v>4774.0841341845098</v>
      </c>
      <c r="AA14" s="3">
        <v>5308.3679181546186</v>
      </c>
      <c r="AB14" s="3">
        <v>5808.1817805782694</v>
      </c>
      <c r="AC14" s="3">
        <v>6325.2306037751496</v>
      </c>
    </row>
    <row r="15" spans="1:39" ht="13.2">
      <c r="P15" s="2" t="s">
        <v>99</v>
      </c>
      <c r="Q15" s="2" t="s">
        <v>28</v>
      </c>
      <c r="R15" s="3">
        <v>461</v>
      </c>
      <c r="S15" s="3">
        <v>978</v>
      </c>
      <c r="T15" s="3">
        <v>1462.89141525424</v>
      </c>
      <c r="U15" s="3">
        <v>1965.4688389830501</v>
      </c>
      <c r="V15" s="3">
        <v>2500.5002542372899</v>
      </c>
      <c r="W15" s="3">
        <v>3016.88757627119</v>
      </c>
      <c r="X15" s="3">
        <v>3436.30984745765</v>
      </c>
      <c r="Y15" s="3">
        <v>4033.58337288135</v>
      </c>
      <c r="Z15" s="3">
        <v>4628.2626101694896</v>
      </c>
      <c r="AA15" s="3">
        <v>5262.4819630952097</v>
      </c>
      <c r="AB15" s="3">
        <v>5830.6218121095899</v>
      </c>
      <c r="AC15" s="3">
        <v>6432.3887358384</v>
      </c>
    </row>
    <row r="16" spans="1:39" ht="13.2">
      <c r="P16" s="2" t="s">
        <v>99</v>
      </c>
      <c r="Q16" s="2" t="s">
        <v>6</v>
      </c>
      <c r="R16" s="3">
        <v>461</v>
      </c>
      <c r="S16" s="3">
        <v>978</v>
      </c>
      <c r="T16" s="3">
        <v>1462.89141525424</v>
      </c>
      <c r="U16" s="3">
        <v>1965.4688389830501</v>
      </c>
      <c r="V16" s="3">
        <v>2500.5002542372899</v>
      </c>
      <c r="W16" s="3">
        <v>3016.88757627119</v>
      </c>
      <c r="X16" s="3">
        <v>3436.30984745765</v>
      </c>
      <c r="Y16" s="3">
        <v>4033.58337288135</v>
      </c>
      <c r="Z16" s="3">
        <v>4628.2626101694896</v>
      </c>
      <c r="AA16" s="3">
        <v>5262.4819630952097</v>
      </c>
      <c r="AB16" s="3">
        <v>5830.6218121095899</v>
      </c>
      <c r="AC16" s="3">
        <v>6432.3887358384</v>
      </c>
    </row>
    <row r="17" spans="16:29" ht="13.2">
      <c r="P17" s="2" t="s">
        <v>101</v>
      </c>
      <c r="Q17" s="2" t="s">
        <v>12</v>
      </c>
      <c r="R17" s="3">
        <v>569.48266373142997</v>
      </c>
      <c r="S17" s="3">
        <v>1372.1335534764301</v>
      </c>
      <c r="T17" s="3">
        <v>2306.9620253164599</v>
      </c>
      <c r="U17" s="3">
        <v>3286.14015776922</v>
      </c>
      <c r="V17" s="3">
        <v>4116.2630709961504</v>
      </c>
      <c r="W17" s="3">
        <v>4946.3859842230804</v>
      </c>
      <c r="X17" s="3">
        <v>5865.8961658411299</v>
      </c>
      <c r="Y17" s="3">
        <v>6688.4057971014499</v>
      </c>
      <c r="Z17" s="3">
        <v>8053.5681526325498</v>
      </c>
      <c r="AA17" s="3">
        <v>9391.9922949917491</v>
      </c>
      <c r="AB17" s="3">
        <v>10729.682627040849</v>
      </c>
      <c r="AC17" s="3">
        <v>11319.024032287649</v>
      </c>
    </row>
    <row r="18" spans="16:29" ht="13.2">
      <c r="P18" s="2" t="s">
        <v>101</v>
      </c>
      <c r="Q18" s="2" t="s">
        <v>28</v>
      </c>
      <c r="R18" s="3">
        <v>666</v>
      </c>
      <c r="S18" s="3">
        <v>1400.8364406779699</v>
      </c>
      <c r="T18" s="3">
        <v>1843.2093220339</v>
      </c>
      <c r="U18" s="3">
        <v>2274.2093220339002</v>
      </c>
      <c r="V18" s="3">
        <v>2736.2093220339002</v>
      </c>
      <c r="W18" s="3">
        <v>3716.7177966101699</v>
      </c>
      <c r="X18" s="3">
        <v>4316.1016949151708</v>
      </c>
      <c r="Y18" s="3">
        <v>4861.9291101694007</v>
      </c>
      <c r="Z18" s="3">
        <v>6508.6212542372004</v>
      </c>
      <c r="AA18" s="3">
        <v>8033.1170169491006</v>
      </c>
      <c r="AB18" s="3">
        <v>9688.3621355932009</v>
      </c>
      <c r="AC18" s="3">
        <v>11199.644338983002</v>
      </c>
    </row>
    <row r="19" spans="16:29" ht="13.2">
      <c r="P19" s="2" t="s">
        <v>101</v>
      </c>
      <c r="Q19" s="2" t="s">
        <v>6</v>
      </c>
      <c r="R19" s="3">
        <v>666</v>
      </c>
      <c r="S19" s="3">
        <v>1400.8364406779699</v>
      </c>
      <c r="T19" s="3">
        <v>1843.2093220339</v>
      </c>
      <c r="U19" s="3">
        <v>2274.2093220339002</v>
      </c>
      <c r="V19" s="3">
        <v>2736.2093220339002</v>
      </c>
      <c r="W19" s="3">
        <v>3716.7177966101699</v>
      </c>
      <c r="X19" s="3">
        <v>4316.1016949151708</v>
      </c>
      <c r="Y19" s="3">
        <v>4861.9291101694007</v>
      </c>
      <c r="Z19" s="3">
        <v>6508.6212542372004</v>
      </c>
      <c r="AA19" s="3">
        <v>8033.1170169491006</v>
      </c>
      <c r="AB19" s="3">
        <v>9688.3621355932009</v>
      </c>
      <c r="AC19" s="3">
        <v>11319.644338983002</v>
      </c>
    </row>
    <row r="20" spans="16:29" ht="13.2">
      <c r="P20" s="2" t="s">
        <v>103</v>
      </c>
      <c r="Q20" s="2" t="s">
        <v>12</v>
      </c>
      <c r="R20" s="3">
        <v>1539.9072916831001</v>
      </c>
      <c r="S20" s="3">
        <v>3040.1999715229999</v>
      </c>
      <c r="T20" s="3">
        <v>4636.4283567213006</v>
      </c>
      <c r="U20" s="3">
        <v>6510.7184103529007</v>
      </c>
      <c r="V20" s="3">
        <v>7837.6180607191009</v>
      </c>
      <c r="W20" s="3">
        <v>8801.1517347212612</v>
      </c>
      <c r="X20" s="3">
        <v>10266.892372921462</v>
      </c>
      <c r="Y20" s="3">
        <v>11572.149535667262</v>
      </c>
      <c r="Z20" s="3">
        <v>12715.024759132262</v>
      </c>
      <c r="AA20" s="3">
        <v>13719.944944548863</v>
      </c>
      <c r="AB20" s="3">
        <v>14473.888212121503</v>
      </c>
      <c r="AC20" s="3">
        <v>15423.879510828943</v>
      </c>
    </row>
    <row r="21" spans="16:29" ht="13.2">
      <c r="P21" s="2" t="s">
        <v>103</v>
      </c>
      <c r="Q21" s="2" t="s">
        <v>28</v>
      </c>
      <c r="R21" s="3">
        <v>1324</v>
      </c>
      <c r="S21" s="3">
        <v>2581</v>
      </c>
      <c r="T21" s="3">
        <v>3672</v>
      </c>
      <c r="U21" s="3">
        <v>5849</v>
      </c>
      <c r="V21" s="3">
        <v>6999</v>
      </c>
      <c r="W21" s="3">
        <v>8258</v>
      </c>
      <c r="X21" s="3">
        <v>10452.448325396501</v>
      </c>
      <c r="Y21" s="3">
        <v>11945.131910317101</v>
      </c>
      <c r="Z21" s="3">
        <v>13433.123956666301</v>
      </c>
      <c r="AA21" s="3">
        <v>14598.122411428201</v>
      </c>
      <c r="AB21" s="3">
        <v>14905.080370158361</v>
      </c>
      <c r="AC21" s="3">
        <v>15054.979152698041</v>
      </c>
    </row>
    <row r="22" spans="16:29" ht="13.2">
      <c r="P22" s="2" t="s">
        <v>103</v>
      </c>
      <c r="Q22" s="2" t="s">
        <v>6</v>
      </c>
      <c r="R22" s="3">
        <v>1324</v>
      </c>
      <c r="S22" s="3">
        <v>2581</v>
      </c>
      <c r="T22" s="3">
        <v>3672</v>
      </c>
      <c r="U22" s="3">
        <v>5849</v>
      </c>
      <c r="V22" s="3">
        <v>6999</v>
      </c>
      <c r="W22" s="3">
        <v>8258</v>
      </c>
      <c r="X22" s="3">
        <v>10452.448325396501</v>
      </c>
      <c r="Y22" s="3">
        <v>11945.131910317101</v>
      </c>
      <c r="Z22" s="3">
        <v>13433.123956666301</v>
      </c>
      <c r="AA22" s="3">
        <v>14737.122411428201</v>
      </c>
      <c r="AB22" s="3">
        <v>15081.080370158361</v>
      </c>
      <c r="AC22" s="3">
        <v>15230.979152698041</v>
      </c>
    </row>
    <row r="23" spans="16:29" ht="13.2">
      <c r="P23" s="2" t="s">
        <v>105</v>
      </c>
      <c r="Q23" s="2" t="s">
        <v>12</v>
      </c>
      <c r="R23" s="3">
        <v>200</v>
      </c>
      <c r="S23" s="3">
        <v>400</v>
      </c>
      <c r="T23" s="3">
        <v>600</v>
      </c>
      <c r="U23" s="3">
        <v>800</v>
      </c>
      <c r="V23" s="3">
        <v>1000</v>
      </c>
      <c r="W23" s="3">
        <v>1200</v>
      </c>
      <c r="X23" s="3">
        <v>1400</v>
      </c>
      <c r="Y23" s="3">
        <v>1600</v>
      </c>
      <c r="Z23" s="3">
        <v>1800</v>
      </c>
      <c r="AA23" s="3">
        <v>2000</v>
      </c>
      <c r="AB23" s="3">
        <v>2200</v>
      </c>
      <c r="AC23" s="3">
        <v>2400</v>
      </c>
    </row>
    <row r="24" spans="16:29" ht="13.2">
      <c r="P24" s="2" t="s">
        <v>105</v>
      </c>
      <c r="Q24" s="2" t="s">
        <v>28</v>
      </c>
      <c r="R24" s="3">
        <v>87.572355932202996</v>
      </c>
      <c r="S24" s="3">
        <v>182.02013559322</v>
      </c>
      <c r="T24" s="3">
        <v>310.91514406779999</v>
      </c>
      <c r="U24" s="3">
        <v>421.84120338983001</v>
      </c>
      <c r="V24" s="3">
        <v>556.36283898304998</v>
      </c>
      <c r="W24" s="3">
        <v>717.47829661016999</v>
      </c>
      <c r="X24" s="3">
        <v>834.07563559316998</v>
      </c>
      <c r="Y24" s="3">
        <v>1007.25266949149</v>
      </c>
      <c r="Z24" s="3">
        <v>1628.94577118641</v>
      </c>
      <c r="AA24" s="3">
        <v>2028.6654406779401</v>
      </c>
      <c r="AB24" s="3">
        <v>2036.183432203364</v>
      </c>
      <c r="AC24" s="3">
        <v>2064.9969915253978</v>
      </c>
    </row>
    <row r="25" spans="16:29" ht="13.2">
      <c r="P25" s="2" t="s">
        <v>105</v>
      </c>
      <c r="Q25" s="2" t="s">
        <v>6</v>
      </c>
      <c r="R25" s="3">
        <v>87.572355932202996</v>
      </c>
      <c r="S25" s="3">
        <v>182.02013559322</v>
      </c>
      <c r="T25" s="3">
        <v>310.91514406779999</v>
      </c>
      <c r="U25" s="3">
        <v>421.84120338983001</v>
      </c>
      <c r="V25" s="3">
        <v>556.36283898304998</v>
      </c>
      <c r="W25" s="3">
        <v>717.47829661016999</v>
      </c>
      <c r="X25" s="3">
        <v>834.07563559316998</v>
      </c>
      <c r="Y25" s="3">
        <v>1007.25266949149</v>
      </c>
      <c r="Z25" s="3">
        <v>1628.94577118641</v>
      </c>
      <c r="AA25" s="3">
        <v>2028.6654406779401</v>
      </c>
      <c r="AB25" s="3">
        <v>2036.183432203364</v>
      </c>
      <c r="AC25" s="3">
        <v>2064.9969915253978</v>
      </c>
    </row>
  </sheetData>
  <phoneticPr fontId="11" type="noConversion"/>
  <pageMargins left="0.35" right="0.35" top="0.55000000000000004" bottom="0.55000000000000004" header="0.2" footer="0.2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workbookViewId="0">
      <pane ySplit="7" topLeftCell="A8" activePane="bottomLeft" state="frozen"/>
      <selection pane="bottomLeft"/>
    </sheetView>
  </sheetViews>
  <sheetFormatPr defaultRowHeight="13.8"/>
  <cols>
    <col min="1" max="1" width="12" customWidth="1"/>
    <col min="2" max="2" width="11" customWidth="1"/>
    <col min="3" max="3" width="38" customWidth="1"/>
    <col min="4" max="6" width="16" customWidth="1"/>
    <col min="7" max="7" width="68" customWidth="1"/>
  </cols>
  <sheetData>
    <row r="1" spans="1:7" ht="28.05" customHeight="1">
      <c r="A1" s="13" t="s">
        <v>115</v>
      </c>
      <c r="B1" s="14"/>
      <c r="C1" s="14"/>
      <c r="D1" s="14"/>
      <c r="E1" s="14"/>
      <c r="F1" s="14"/>
      <c r="G1" s="14"/>
    </row>
    <row r="2" spans="1:7" ht="13.2">
      <c r="A2" s="14"/>
      <c r="B2" s="14"/>
      <c r="C2" s="14"/>
      <c r="D2" s="14"/>
      <c r="E2" s="14"/>
      <c r="F2" s="14"/>
      <c r="G2" s="14"/>
    </row>
    <row r="3" spans="1:7" ht="13.2">
      <c r="A3" s="15" t="s">
        <v>1</v>
      </c>
      <c r="B3" s="14"/>
      <c r="C3" s="14"/>
      <c r="D3" s="14"/>
      <c r="E3" s="14"/>
      <c r="F3" s="14"/>
      <c r="G3" s="14"/>
    </row>
    <row r="5" spans="1:7" ht="24" customHeight="1">
      <c r="A5" s="23" t="s">
        <v>116</v>
      </c>
      <c r="B5" s="14"/>
      <c r="C5" s="14"/>
      <c r="D5" s="14"/>
      <c r="E5" s="14"/>
      <c r="F5" s="14"/>
      <c r="G5" s="14"/>
    </row>
    <row r="7" spans="1:7" ht="13.2">
      <c r="A7" s="1" t="s">
        <v>117</v>
      </c>
      <c r="B7" s="1" t="s">
        <v>118</v>
      </c>
      <c r="C7" s="1" t="s">
        <v>119</v>
      </c>
      <c r="D7" s="1" t="s">
        <v>49</v>
      </c>
      <c r="E7" s="1" t="s">
        <v>120</v>
      </c>
      <c r="F7" s="1" t="s">
        <v>121</v>
      </c>
      <c r="G7" s="1" t="s">
        <v>122</v>
      </c>
    </row>
    <row r="8" spans="1:7" ht="34.049999999999997" customHeight="1">
      <c r="A8" s="23" t="s">
        <v>123</v>
      </c>
      <c r="B8" s="14"/>
      <c r="C8" s="14"/>
      <c r="D8" s="14"/>
      <c r="E8" s="14"/>
      <c r="F8" s="14"/>
      <c r="G8" s="14"/>
    </row>
    <row r="9" spans="1:7" ht="13.2">
      <c r="A9" s="14"/>
      <c r="B9" s="14"/>
      <c r="C9" s="14"/>
      <c r="D9" s="14"/>
      <c r="E9" s="14"/>
      <c r="F9" s="14"/>
      <c r="G9" s="14"/>
    </row>
  </sheetData>
  <mergeCells count="4">
    <mergeCell ref="A1:G2"/>
    <mergeCell ref="A3:G3"/>
    <mergeCell ref="A5:G5"/>
    <mergeCell ref="A8:G9"/>
  </mergeCells>
  <phoneticPr fontId="11" type="noConversion"/>
  <pageMargins left="0.35" right="0.35" top="0.55000000000000004" bottom="0.55000000000000004" header="0.2" footer="0.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Executive Summary</vt:lpstr>
      <vt:lpstr>Weekly Review</vt:lpstr>
      <vt:lpstr>Data Weekly</vt:lpstr>
      <vt:lpstr>Budget Recap</vt:lpstr>
      <vt:lpstr>Chart Data</vt:lpstr>
      <vt:lpstr>Management Checks</vt:lpstr>
    </vt:vector>
  </TitlesOfParts>
  <Company>DIAM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DIAM Sales Performance</dc:creator>
  <cp:lastModifiedBy>Cynthia WANG</cp:lastModifiedBy>
  <dcterms:created xsi:type="dcterms:W3CDTF">2026-09-03T07:38:02Z</dcterms:created>
  <dcterms:modified xsi:type="dcterms:W3CDTF">2026-09-03T07:57:21Z</dcterms:modified>
</cp:coreProperties>
</file>